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b7baad1ff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urator" sheetId="1" r:id="R0caca29b0ed14457"/>
    <x:sheet xmlns:r="http://schemas.openxmlformats.org/officeDocument/2006/relationships" name="Routes" sheetId="2" r:id="R727036f295e24661"/>
    <x:sheet xmlns:r="http://schemas.openxmlformats.org/officeDocument/2006/relationships" name="BOM Data" sheetId="3" r:id="Rcc6dee8c458a43c1"/>
    <x:sheet xmlns:r="http://schemas.openxmlformats.org/officeDocument/2006/relationships" name="Regional SKUs" sheetId="4" r:id="R20d0a652f36e4f77"/>
    <x:sheet xmlns:r="http://schemas.openxmlformats.org/officeDocument/2006/relationships" name="Cable Options" sheetId="5" r:id="R1ccb77c3e50142d6"/>
    <x:sheet xmlns:r="http://schemas.openxmlformats.org/officeDocument/2006/relationships" name="Customer Fit Guide" sheetId="6" r:id="R7a98a922b8bf4d2f"/>
    <x:sheet xmlns:r="http://schemas.openxmlformats.org/officeDocument/2006/relationships" name="Ownership TCO" sheetId="7" r:id="R87fb80fc5c9f4e20"/>
    <x:sheet xmlns:r="http://schemas.openxmlformats.org/officeDocument/2006/relationships" name="Pre-Send Checklist" sheetId="8" r:id="R3803ad0e26cc4e27"/>
    <x:sheet xmlns:r="http://schemas.openxmlformats.org/officeDocument/2006/relationships" name="02_Master_SKUs" sheetId="9" r:id="R1137e794425f4980"/>
    <x:sheet xmlns:r="http://schemas.openxmlformats.org/officeDocument/2006/relationships" name="ID_SKU_Reconciliation" sheetId="10" r:id="R4ed0afe7178e400a"/>
    <x:sheet xmlns:r="http://schemas.openxmlformats.org/officeDocument/2006/relationships" name="Unmapped_Source_Archive" sheetId="11" r:id="R742f7bde3ea8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@"/>
  </x:numFmts>
  <x:fonts count="43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263B4B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b/>
      <x:sz val="15"/>
      <x:color rgb="FFFFFFFF"/>
      <x:name val="Aptos"/>
    </x:font>
    <x:font>
      <x:b/>
      <x:sz val="10"/>
      <x:color rgb="FF263B4B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sz val="10"/>
      <x:color rgb="FF243D51"/>
      <x:name val="Aptos"/>
    </x:font>
    <x:font>
      <x:b/>
      <x:sz val="10"/>
      <x:color rgb="FF243D51"/>
      <x:name val="Aptos"/>
    </x:font>
    <x:font>
      <x:sz val="10"/>
      <x:color rgb="FF8B4F16"/>
      <x:name val="Aptos"/>
    </x:font>
    <x:font>
      <x:b/>
      <x:sz val="10"/>
      <x:color rgb="FF8B4F16"/>
      <x:name val="Aptos"/>
    </x:font>
    <x:font>
      <x:sz val="10"/>
      <x:color rgb="FF213D4E"/>
      <x:name val="Aptos"/>
    </x:font>
    <x:font>
      <x:b/>
      <x:sz val="15"/>
      <x:color rgb="FFFFFFFF"/>
      <x:name val="Microsoft YaHei"/>
    </x:font>
    <x:font>
      <x:sz val="10"/>
      <x:color rgb="FF263B4B"/>
      <x:name val="Microsoft YaHei"/>
    </x:font>
    <x:font>
      <x:b/>
      <x:sz val="10"/>
      <x:color rgb="FF263B4B"/>
      <x:name val="Microsoft YaHei"/>
    </x:font>
    <x:font>
      <x:sz val="10"/>
      <x:color rgb="FF213D4E"/>
      <x:name val="Microsoft YaHei"/>
    </x:font>
    <x:font>
      <x:b/>
      <x:sz val="10"/>
      <x:color rgb="FFFFFFFF"/>
      <x:name val="Microsoft YaHei"/>
    </x:font>
    <x:font>
      <x:b/>
      <x:sz val="10"/>
      <x:color rgb="FF253B4B"/>
      <x:name val="Microsoft YaHei"/>
    </x:font>
    <x:font>
      <x:sz val="10"/>
      <x:color rgb="FF253B4B"/>
      <x:name val="Microsoft YaHei"/>
    </x:font>
    <x:font>
      <x:sz val="10"/>
      <x:color rgb="FF80461B"/>
      <x:name val="Microsoft YaHei"/>
    </x:font>
    <x:font>
      <x:sz val="10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0"/>
      <x:color rgb="FF243D51"/>
      <x:name val="Microsoft YaHei"/>
    </x:font>
    <x:font>
      <x:b/>
      <x:sz val="10"/>
      <x:color rgb="FF8B4F16"/>
      <x:name val="Microsoft YaHei"/>
    </x:font>
    <x:font>
      <x:sz val="10"/>
      <x:color rgb="FF243D51"/>
      <x:name val="Microsoft YaHei"/>
    </x:font>
    <x:font>
      <x:b/>
      <x:sz val="10"/>
      <x:color rgb="FF80461B"/>
      <x:name val="Microsoft YaHei"/>
    </x:font>
    <x:font>
      <x:b/>
      <x:sz val="10"/>
      <x:color rgb="FF165A83"/>
      <x:name val="Microsoft YaHei"/>
    </x:font>
    <x:font>
      <x:sz val="10"/>
      <x:color rgb="FF276447"/>
      <x:name val="Microsoft YaHei"/>
    </x:font>
    <x:font>
      <x:sz val="10"/>
      <x:color rgb="FF86551A"/>
      <x:name val="Microsoft YaHei"/>
    </x:font>
    <x:font>
      <x:b/>
      <x:sz val="10"/>
      <x:color rgb="FF53677A"/>
      <x:name val="Microsoft YaHei"/>
    </x:font>
    <x:font>
      <x:sz val="10"/>
      <x:color rgb="FF285A42"/>
      <x:name val="Microsoft YaHei"/>
    </x:font>
    <x:font>
      <x:sz val="10"/>
      <x:color rgb="FF80521F"/>
      <x:name val="Microsoft YaHei"/>
    </x:font>
    <x:font>
      <x:b/>
      <x:sz val="10"/>
      <x:color rgb="FF173953"/>
      <x:name val="Microsoft YaHei"/>
    </x:font>
    <x:font>
      <x:b/>
      <x:sz val="10"/>
      <x:color rgb="FF86551A"/>
      <x:name val="Microsoft YaHei"/>
    </x:font>
    <x:font>
      <x:sz val="10"/>
      <x:color rgb="FF145F86"/>
      <x:name val="Microsoft YaHei"/>
    </x:font>
    <x:font>
      <x:b/>
      <x:sz val="10"/>
      <x:color rgb="FF145F86"/>
      <x:name val="Microsoft YaHei"/>
    </x:font>
    <x:font>
      <x:sz val="10"/>
      <x:color rgb="FF226442"/>
      <x:name val="Microsoft YaHei"/>
    </x:font>
    <x:font>
      <x:b/>
      <x:sz val="10"/>
      <x:color rgb="FF226442"/>
      <x:name val="Microsoft YaHei"/>
    </x:font>
  </x:fonts>
  <x:fills count="25">
    <x:fill>
      <x:patternFill patternType="none"/>
    </x:fill>
    <x:fill>
      <x:patternFill patternType="gray125"/>
    </x:fill>
    <x:fill>
      <x:patternFill patternType="solid">
        <x:fgColor rgb="FFF1F5F8"/>
      </x:patternFill>
    </x:fill>
    <x:fill>
      <x:patternFill patternType="solid">
        <x:fgColor rgb="FFE8F4F8"/>
      </x:patternFill>
    </x:fill>
    <x:fill>
      <x:patternFill patternType="solid">
        <x:fgColor rgb="FF087F9D"/>
      </x:patternFill>
    </x:fill>
    <x:fill>
      <x:patternFill patternType="solid">
        <x:fgColor rgb="FF173953"/>
      </x:patternFill>
    </x:fill>
    <x:fill>
      <x:patternFill patternType="solid">
        <x:fgColor rgb="FFE1F6E9"/>
      </x:patternFill>
    </x:fill>
    <x:fill>
      <x:patternFill patternType="solid">
        <x:fgColor rgb="FFFFF0DA"/>
      </x:patternFill>
    </x:fill>
    <x:fill>
      <x:patternFill patternType="solid">
        <x:fgColor rgb="FFE9F5FF"/>
      </x:patternFill>
    </x:fill>
    <x:fill>
      <x:patternFill patternType="solid">
        <x:fgColor rgb="FFE6F4ED"/>
      </x:patternFill>
    </x:fill>
    <x:fill>
      <x:patternFill patternType="solid">
        <x:fgColor rgb="FFF3F7FA"/>
      </x:patternFill>
    </x:fill>
    <x:fill>
      <x:patternFill patternType="solid">
        <x:fgColor rgb="FF153852"/>
      </x:patternFill>
    </x:fill>
    <x:fill>
      <x:patternFill patternType="solid">
        <x:fgColor rgb="FFE9F3F8"/>
      </x:patternFill>
    </x:fill>
    <x:fill>
      <x:patternFill patternType="solid">
        <x:fgColor rgb="FFFFF0D6"/>
      </x:patternFill>
    </x:fill>
    <x:fill>
      <x:patternFill patternType="solid">
        <x:fgColor rgb="FF087F9D"/>
      </x:patternFill>
    </x:fill>
    <x:fill>
      <x:patternFill patternType="solid">
        <x:fgColor rgb="FFE9F3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1F5F8"/>
      </x:patternFill>
    </x:fill>
    <x:fill>
      <x:patternFill patternType="solid">
        <x:fgColor rgb="FF087F9D"/>
      </x:patternFill>
    </x:fill>
    <x:fill>
      <x:patternFill patternType="solid">
        <x:fgColor rgb="FF173953"/>
      </x:patternFill>
    </x:fill>
    <x:fill>
      <x:patternFill patternType="solid">
        <x:fgColor rgb="FFE8F4F8"/>
      </x:patternFill>
    </x:fill>
    <x:fill>
      <x:patternFill patternType="solid">
        <x:fgColor rgb="FFFFF0DA"/>
      </x:patternFill>
    </x:fill>
    <x:fill>
      <x:patternFill patternType="solid">
        <x:fgColor rgb="FFE9F5FF"/>
      </x:patternFill>
    </x:fill>
    <x:fill>
      <x:patternFill patternType="solid">
        <x:fgColor rgb="FFE5F4ED"/>
      </x:patternFill>
    </x:fill>
  </x:fills>
  <x:borders count="2">
    <x:border/>
    <x:border/>
  </x:borders>
  <x:cellStyleXfs count="1">
    <x:xf numFmtId="0" fontId="0" fillId="0" borderId="0"/>
  </x:cellStyleXfs>
  <x:cellXfs count="25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2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201" fontId="1" fillId="8" borderId="0" xfId="0" applyNumberFormat="1" applyFont="1" applyFill="1" applyBorder="1" applyAlignment="1">
      <x:alignment wrapText="1"/>
    </x:xf>
    <x:xf numFmtId="201" fontId="1" fillId="8" borderId="1" xfId="0" applyNumberFormat="1" applyFont="1" applyFill="1" applyBorder="1" applyAlignment="1">
      <x:alignment wrapText="1"/>
    </x:xf>
    <x:xf numFmtId="201" fontId="1" fillId="9" borderId="0" xfId="0" applyNumberFormat="1" applyFont="1" applyFill="1" applyBorder="1" applyAlignment="1">
      <x:alignment wrapText="1"/>
    </x:xf>
    <x:xf numFmtId="201" fontId="1" fillId="9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3" fillId="3" borderId="0" xfId="0" applyNumberFormat="1" applyFont="1" applyFill="1" applyBorder="1" applyAlignment="1">
      <x:alignment vertical="center" wrapText="1"/>
    </x:xf>
    <x:xf numFmtId="200" fontId="3" fillId="7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 wrapText="1"/>
    </x:xf>
    <x:xf numFmtId="0" fontId="14" fillId="13" borderId="0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200" fontId="11" fillId="10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vertical="center" wrapText="1"/>
    </x:xf>
    <x:xf numFmtId="200" fontId="3" fillId="16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3" fillId="12" borderId="0" xfId="0" applyNumberFormat="1" applyFont="1" applyFill="1" applyBorder="1" applyAlignment="1">
      <x:alignment vertical="center" wrapText="1"/>
    </x:xf>
    <x:xf numFmtId="0" fontId="15" fillId="12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vertical="center" wrapText="1"/>
    </x:xf>
    <x:xf numFmtId="0" fontId="17" fillId="3" borderId="0" xfId="0" applyNumberFormat="1" applyFont="1" applyFill="1" applyBorder="1" applyAlignment="1">
      <x:alignment vertical="center" wrapText="1"/>
    </x:xf>
    <x:xf numFmtId="0" fontId="18" fillId="3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0" fontId="19" fillId="12" borderId="0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 applyAlignment="1">
      <x:alignment vertical="center" wrapText="1"/>
    </x:xf>
    <x:xf numFmtId="0" fontId="20" fillId="4" borderId="0" xfId="0" applyNumberFormat="1" applyFont="1" applyFill="1" applyBorder="1" applyAlignment="1">
      <x:alignment vertical="center" wrapText="1"/>
    </x:xf>
    <x:xf numFmtId="200" fontId="17" fillId="2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200" fontId="17" fillId="0" borderId="0" xfId="0" applyNumberFormat="1" applyFont="1" applyFill="1" applyBorder="1" applyAlignment="1">
      <x:alignment vertical="center" wrapText="1"/>
    </x:xf>
    <x:xf numFmtId="0" fontId="20" fillId="5" borderId="0" xfId="0" applyNumberFormat="1" applyFont="1" applyFill="1" applyBorder="1" applyAlignment="1">
      <x:alignment vertical="center" wrapText="1"/>
    </x:xf>
    <x:xf numFmtId="0" fontId="21" fillId="5" borderId="0" xfId="0" applyNumberFormat="1" applyFont="1" applyFill="1" applyBorder="1" applyAlignment="1">
      <x:alignment vertical="center" wrapText="1"/>
    </x:xf>
    <x:xf numFmtId="0" fontId="22" fillId="3" borderId="0" xfId="0" applyNumberFormat="1" applyFont="1" applyFill="1" applyBorder="1" applyAlignment="1">
      <x:alignment vertical="center" wrapText="1"/>
    </x:xf>
    <x:xf numFmtId="0" fontId="21" fillId="3" borderId="0" xfId="0" applyNumberFormat="1" applyFont="1" applyFill="1" applyBorder="1" applyAlignment="1">
      <x:alignment vertical="center" wrapText="1"/>
    </x:xf>
    <x:xf numFmtId="0" fontId="21" fillId="6" borderId="0" xfId="0" applyNumberFormat="1" applyFont="1" applyFill="1" applyBorder="1" applyAlignment="1">
      <x:alignment vertical="center" wrapText="1"/>
    </x:xf>
    <x:xf numFmtId="0" fontId="22" fillId="12" borderId="0" xfId="0" applyNumberFormat="1" applyFont="1" applyFill="1" applyBorder="1" applyAlignment="1">
      <x:alignment vertical="center" wrapText="1"/>
    </x:xf>
    <x:xf numFmtId="0" fontId="22" fillId="2" borderId="0" xfId="0" applyNumberFormat="1" applyFont="1" applyFill="1" applyBorder="1" applyAlignment="1">
      <x:alignment vertical="center" wrapText="1"/>
    </x:xf>
    <x:xf numFmtId="0" fontId="21" fillId="4" borderId="0" xfId="0" applyNumberFormat="1" applyFont="1" applyFill="1" applyBorder="1" applyAlignment="1">
      <x:alignment vertical="center" wrapText="1"/>
    </x:xf>
    <x:xf numFmtId="200" fontId="22" fillId="2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vertical="center" wrapText="1"/>
    </x:xf>
    <x:xf numFmtId="200" fontId="22" fillId="0" borderId="0" xfId="0" applyNumberFormat="1" applyFont="1" applyFill="1" applyBorder="1" applyAlignment="1">
      <x:alignment vertical="center" wrapText="1"/>
    </x:xf>
    <x:xf numFmtId="0" fontId="22" fillId="17" borderId="0" xfId="0" applyNumberFormat="1" applyFont="1" applyFill="1" applyBorder="1" applyAlignment="1">
      <x:alignment vertical="center" wrapText="1"/>
    </x:xf>
    <x:xf numFmtId="200" fontId="22" fillId="17" borderId="0" xfId="0" applyNumberFormat="1" applyFont="1" applyFill="1" applyBorder="1" applyAlignment="1">
      <x:alignment vertical="center" wrapText="1"/>
    </x:xf>
    <x:xf numFmtId="0" fontId="22" fillId="18" borderId="0" xfId="0" applyNumberFormat="1" applyFont="1" applyFill="1" applyBorder="1" applyAlignment="1">
      <x:alignment vertical="center" wrapText="1"/>
    </x:xf>
    <x:xf numFmtId="200" fontId="22" fillId="18" borderId="0" xfId="0" applyNumberFormat="1" applyFont="1" applyFill="1" applyBorder="1" applyAlignment="1">
      <x:alignment vertical="center" wrapText="1"/>
    </x:xf>
    <x:xf numFmtId="0" fontId="21" fillId="19" borderId="0" xfId="0" applyNumberFormat="1" applyFont="1" applyFill="1" applyBorder="1" applyAlignment="1">
      <x:alignment vertical="center" wrapText="1"/>
    </x:xf>
    <x:xf numFmtId="0" fontId="20" fillId="19" borderId="0" xfId="0" applyNumberFormat="1" applyFont="1" applyFill="1" applyBorder="1" applyAlignment="1">
      <x:alignment vertical="center" wrapText="1"/>
    </x:xf>
    <x:xf numFmtId="0" fontId="21" fillId="20" borderId="0" xfId="0" applyNumberFormat="1" applyFont="1" applyFill="1" applyBorder="1" applyAlignment="1">
      <x:alignment vertical="center" wrapText="1"/>
    </x:xf>
    <x:xf numFmtId="0" fontId="20" fillId="20" borderId="0" xfId="0" applyNumberFormat="1" applyFont="1" applyFill="1" applyBorder="1" applyAlignment="1">
      <x:alignment vertical="center" wrapText="1"/>
    </x:xf>
    <x:xf numFmtId="0" fontId="16" fillId="20" borderId="0" xfId="0" applyNumberFormat="1" applyFont="1" applyFill="1" applyBorder="1" applyAlignment="1">
      <x:alignment vertical="center" wrapText="1"/>
    </x:xf>
    <x:xf numFmtId="0" fontId="22" fillId="21" borderId="0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 applyAlignment="1">
      <x:alignment vertical="center" wrapText="1"/>
    </x:xf>
    <x:xf numFmtId="0" fontId="22" fillId="7" borderId="0" xfId="0" applyNumberFormat="1" applyFont="1" applyFill="1" applyBorder="1" applyAlignment="1">
      <x:alignment vertical="center" wrapText="1"/>
    </x:xf>
    <x:xf numFmtId="0" fontId="22" fillId="22" borderId="0" xfId="0" applyNumberFormat="1" applyFont="1" applyFill="1" applyBorder="1" applyAlignment="1">
      <x:alignment vertical="center" wrapText="1"/>
    </x:xf>
    <x:xf numFmtId="0" fontId="23" fillId="22" borderId="0" xfId="0" applyNumberFormat="1" applyFont="1" applyFill="1" applyBorder="1" applyAlignment="1">
      <x:alignment vertical="center" wrapText="1"/>
    </x:xf>
    <x:xf numFmtId="0" fontId="20" fillId="4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wrapText="1"/>
    </x:xf>
    <x:xf numFmtId="200" fontId="24" fillId="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vertical="center" wrapText="1"/>
    </x:xf>
    <x:xf numFmtId="200" fontId="24" fillId="0" borderId="0" xfId="0" applyNumberFormat="1" applyFont="1" applyFill="1" applyBorder="1" applyAlignment="1">
      <x:alignment vertical="center" wrapText="1"/>
    </x:xf>
    <x:xf numFmtId="202" fontId="22" fillId="17" borderId="0" xfId="0" applyNumberFormat="1" applyFont="1" applyFill="1" applyBorder="1" applyAlignment="1">
      <x:alignment vertical="center" wrapText="1"/>
    </x:xf>
    <x:xf numFmtId="202" fontId="22" fillId="18" borderId="0" xfId="0" applyNumberFormat="1" applyFont="1" applyFill="1" applyBorder="1" applyAlignment="1">
      <x:alignment vertical="center" wrapText="1"/>
    </x:xf>
    <x:xf numFmtId="200" fontId="17" fillId="3" borderId="0" xfId="0" applyNumberFormat="1" applyFont="1" applyFill="1" applyBorder="1" applyAlignment="1">
      <x:alignment vertical="center" wrapText="1"/>
    </x:xf>
    <x:xf numFmtId="200" fontId="17" fillId="7" borderId="0" xfId="0" applyNumberFormat="1" applyFont="1" applyFill="1" applyBorder="1" applyAlignment="1">
      <x:alignment vertical="center" wrapText="1"/>
    </x:xf>
    <x:xf numFmtId="200" fontId="20" fillId="4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/>
    <x:xf numFmtId="200" fontId="25" fillId="0" borderId="0" xfId="0" applyNumberFormat="1" applyFont="1" applyFill="1" applyBorder="1"/>
    <x:xf numFmtId="0" fontId="25" fillId="2" borderId="0" xfId="0" applyNumberFormat="1" applyFont="1" applyFill="1" applyBorder="1"/>
    <x:xf numFmtId="200" fontId="25" fillId="2" borderId="0" xfId="0" applyNumberFormat="1" applyFont="1" applyFill="1" applyBorder="1"/>
    <x:xf numFmtId="0" fontId="24" fillId="0" borderId="0" xfId="0" applyNumberFormat="1" applyFont="1" applyFill="1" applyBorder="1"/>
    <x:xf numFmtId="200" fontId="24" fillId="0" borderId="0" xfId="0" applyNumberFormat="1" applyFont="1" applyFill="1" applyBorder="1"/>
    <x:xf numFmtId="0" fontId="24" fillId="2" borderId="0" xfId="0" applyNumberFormat="1" applyFont="1" applyFill="1" applyBorder="1"/>
    <x:xf numFmtId="200" fontId="24" fillId="2" borderId="0" xfId="0" applyNumberFormat="1" applyFont="1" applyFill="1" applyBorder="1"/>
    <x:xf numFmtId="0" fontId="24" fillId="0" borderId="0" xfId="0" applyNumberFormat="1" applyFont="1" applyFill="1" applyBorder="1" applyAlignment="1">
      <x:alignment vertical="center"/>
    </x:xf>
    <x:xf numFmtId="200" fontId="24" fillId="0" borderId="0" xfId="0" applyNumberFormat="1" applyFont="1" applyFill="1" applyBorder="1" applyAlignment="1">
      <x:alignment vertical="center"/>
    </x:xf>
    <x:xf numFmtId="0" fontId="24" fillId="2" borderId="0" xfId="0" applyNumberFormat="1" applyFont="1" applyFill="1" applyBorder="1" applyAlignment="1">
      <x:alignment vertical="center"/>
    </x:xf>
    <x:xf numFmtId="200" fontId="24" fillId="2" borderId="0" xfId="0" applyNumberFormat="1" applyFont="1" applyFill="1" applyBorder="1" applyAlignment="1">
      <x:alignment vertical="center"/>
    </x:xf>
    <x:xf numFmtId="0" fontId="24" fillId="2" borderId="0" xfId="0" applyNumberFormat="1" applyFont="1" applyFill="1" applyBorder="1" applyAlignment="1">
      <x:alignment vertical="center" wrapText="1"/>
    </x:xf>
    <x:xf numFmtId="200" fontId="24" fillId="2" borderId="0" xfId="0" applyNumberFormat="1" applyFont="1" applyFill="1" applyBorder="1" applyAlignment="1">
      <x:alignment vertical="center" wrapText="1"/>
    </x:xf>
    <x:xf numFmtId="200" fontId="22" fillId="3" borderId="0" xfId="0" applyNumberFormat="1" applyFont="1" applyFill="1" applyBorder="1" applyAlignment="1">
      <x:alignment vertical="center" wrapText="1"/>
    </x:xf>
    <x:xf numFmtId="200" fontId="22" fillId="7" borderId="0" xfId="0" applyNumberFormat="1" applyFont="1" applyFill="1" applyBorder="1" applyAlignment="1">
      <x:alignment vertical="center" wrapText="1"/>
    </x:xf>
    <x:xf numFmtId="200" fontId="21" fillId="4" borderId="0" xfId="0" applyNumberFormat="1" applyFont="1" applyFill="1" applyBorder="1" applyAlignment="1">
      <x:alignment vertical="center" wrapText="1"/>
    </x:xf>
    <x:xf numFmtId="200" fontId="21" fillId="19" borderId="0" xfId="0" applyNumberFormat="1" applyFont="1" applyFill="1" applyBorder="1" applyAlignment="1">
      <x:alignment vertical="center" wrapText="1"/>
    </x:xf>
    <x:xf numFmtId="200" fontId="20" fillId="19" borderId="0" xfId="0" applyNumberFormat="1" applyFont="1" applyFill="1" applyBorder="1" applyAlignment="1">
      <x:alignment vertical="center" wrapText="1"/>
    </x:xf>
    <x:xf numFmtId="200" fontId="22" fillId="21" borderId="0" xfId="0" applyNumberFormat="1" applyFont="1" applyFill="1" applyBorder="1" applyAlignment="1">
      <x:alignment vertical="center" wrapText="1"/>
    </x:xf>
    <x:xf numFmtId="200" fontId="22" fillId="22" borderId="0" xfId="0" applyNumberFormat="1" applyFont="1" applyFill="1" applyBorder="1" applyAlignment="1">
      <x:alignment vertical="center" wrapText="1"/>
    </x:xf>
    <x:xf numFmtId="200" fontId="23" fillId="22" borderId="0" xfId="0" applyNumberFormat="1" applyFont="1" applyFill="1" applyBorder="1" applyAlignment="1">
      <x:alignment vertical="center" wrapText="1"/>
    </x:xf>
    <x:xf numFmtId="0" fontId="26" fillId="5" borderId="0" xfId="0" applyNumberFormat="1" applyFont="1" applyFill="1" applyBorder="1" applyAlignment="1">
      <x:alignment wrapText="1"/>
    </x:xf>
    <x:xf numFmtId="0" fontId="25" fillId="3" borderId="0" xfId="0" applyNumberFormat="1" applyFont="1" applyFill="1" applyBorder="1" applyAlignment="1">
      <x:alignment wrapText="1"/>
    </x:xf>
    <x:xf numFmtId="0" fontId="25" fillId="7" borderId="0" xfId="0" applyNumberFormat="1" applyFont="1" applyFill="1" applyBorder="1" applyAlignment="1">
      <x:alignment wrapText="1"/>
    </x:xf>
    <x:xf numFmtId="0" fontId="26" fillId="4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wrapText="1"/>
    </x:xf>
    <x:xf numFmtId="0" fontId="25" fillId="8" borderId="0" xfId="0" applyNumberFormat="1" applyFont="1" applyFill="1" applyBorder="1" applyAlignment="1">
      <x:alignment wrapText="1"/>
    </x:xf>
    <x:xf numFmtId="201" fontId="25" fillId="8" borderId="0" xfId="0" applyNumberFormat="1" applyFont="1" applyFill="1" applyBorder="1" applyAlignment="1">
      <x:alignment wrapText="1"/>
    </x:xf>
    <x:xf numFmtId="201" fontId="25" fillId="9" borderId="0" xfId="0" applyNumberFormat="1" applyFont="1" applyFill="1" applyBorder="1" applyAlignment="1">
      <x:alignment wrapText="1"/>
    </x:xf>
    <x:xf numFmtId="0" fontId="20" fillId="5" borderId="0" xfId="0" applyNumberFormat="1" applyFont="1" applyFill="1" applyBorder="1" applyAlignment="1">
      <x:alignment wrapText="1"/>
    </x:xf>
    <x:xf numFmtId="0" fontId="24" fillId="3" borderId="0" xfId="0" applyNumberFormat="1" applyFont="1" applyFill="1" applyBorder="1" applyAlignment="1">
      <x:alignment wrapText="1"/>
    </x:xf>
    <x:xf numFmtId="0" fontId="24" fillId="7" borderId="0" xfId="0" applyNumberFormat="1" applyFont="1" applyFill="1" applyBorder="1" applyAlignment="1">
      <x:alignment wrapText="1"/>
    </x:xf>
    <x:xf numFmtId="0" fontId="24" fillId="8" borderId="0" xfId="0" applyNumberFormat="1" applyFont="1" applyFill="1" applyBorder="1" applyAlignment="1">
      <x:alignment wrapText="1"/>
    </x:xf>
    <x:xf numFmtId="201" fontId="24" fillId="8" borderId="0" xfId="0" applyNumberFormat="1" applyFont="1" applyFill="1" applyBorder="1" applyAlignment="1">
      <x:alignment wrapText="1"/>
    </x:xf>
    <x:xf numFmtId="201" fontId="24" fillId="9" borderId="0" xfId="0" applyNumberFormat="1" applyFont="1" applyFill="1" applyBorder="1" applyAlignment="1">
      <x:alignment wrapText="1"/>
    </x:xf>
    <x:xf numFmtId="0" fontId="24" fillId="3" borderId="0" xfId="0" applyNumberFormat="1" applyFont="1" applyFill="1" applyBorder="1" applyAlignment="1">
      <x:alignment vertical="center" wrapText="1"/>
    </x:xf>
    <x:xf numFmtId="0" fontId="24" fillId="7" borderId="0" xfId="0" applyNumberFormat="1" applyFont="1" applyFill="1" applyBorder="1" applyAlignment="1">
      <x:alignment vertical="center" wrapText="1"/>
    </x:xf>
    <x:xf numFmtId="0" fontId="24" fillId="8" borderId="0" xfId="0" applyNumberFormat="1" applyFont="1" applyFill="1" applyBorder="1" applyAlignment="1">
      <x:alignment vertical="center" wrapText="1"/>
    </x:xf>
    <x:xf numFmtId="201" fontId="24" fillId="8" borderId="0" xfId="0" applyNumberFormat="1" applyFont="1" applyFill="1" applyBorder="1" applyAlignment="1">
      <x:alignment vertical="center" wrapText="1"/>
    </x:xf>
    <x:xf numFmtId="201" fontId="24" fillId="9" borderId="0" xfId="0" applyNumberFormat="1" applyFont="1" applyFill="1" applyBorder="1" applyAlignment="1">
      <x:alignment vertical="center" wrapText="1"/>
    </x:xf>
    <x:xf numFmtId="0" fontId="22" fillId="8" borderId="0" xfId="0" applyNumberFormat="1" applyFont="1" applyFill="1" applyBorder="1" applyAlignment="1">
      <x:alignment vertical="center" wrapText="1"/>
    </x:xf>
    <x:xf numFmtId="201" fontId="22" fillId="8" borderId="0" xfId="0" applyNumberFormat="1" applyFont="1" applyFill="1" applyBorder="1" applyAlignment="1">
      <x:alignment vertical="center" wrapText="1"/>
    </x:xf>
    <x:xf numFmtId="201" fontId="22" fillId="9" borderId="0" xfId="0" applyNumberFormat="1" applyFont="1" applyFill="1" applyBorder="1" applyAlignment="1">
      <x:alignment vertical="center" wrapText="1"/>
    </x:xf>
    <x:xf numFmtId="0" fontId="21" fillId="17" borderId="0" xfId="0" applyNumberFormat="1" applyFont="1" applyFill="1" applyBorder="1" applyAlignment="1">
      <x:alignment vertical="center" wrapText="1"/>
    </x:xf>
    <x:xf numFmtId="201" fontId="22" fillId="17" borderId="0" xfId="0" applyNumberFormat="1" applyFont="1" applyFill="1" applyBorder="1" applyAlignment="1">
      <x:alignment vertical="center" wrapText="1"/>
    </x:xf>
    <x:xf numFmtId="0" fontId="21" fillId="18" borderId="0" xfId="0" applyNumberFormat="1" applyFont="1" applyFill="1" applyBorder="1" applyAlignment="1">
      <x:alignment vertical="center" wrapText="1"/>
    </x:xf>
    <x:xf numFmtId="201" fontId="22" fillId="18" borderId="0" xfId="0" applyNumberFormat="1" applyFont="1" applyFill="1" applyBorder="1" applyAlignment="1">
      <x:alignment vertical="center" wrapText="1"/>
    </x:xf>
    <x:xf numFmtId="0" fontId="20" fillId="11" borderId="0" xfId="0" applyNumberFormat="1" applyFont="1" applyFill="1" applyBorder="1" applyAlignment="1">
      <x:alignment vertical="center" wrapText="1"/>
    </x:xf>
    <x:xf numFmtId="0" fontId="27" fillId="12" borderId="0" xfId="0" applyNumberFormat="1" applyFont="1" applyFill="1" applyBorder="1" applyAlignment="1">
      <x:alignment vertical="center" wrapText="1"/>
    </x:xf>
    <x:xf numFmtId="0" fontId="28" fillId="13" borderId="0" xfId="0" applyNumberFormat="1" applyFont="1" applyFill="1" applyBorder="1" applyAlignment="1">
      <x:alignment vertical="center" wrapText="1"/>
    </x:xf>
    <x:xf numFmtId="0" fontId="29" fillId="0" borderId="0" xfId="0" applyNumberFormat="1" applyFont="1" applyFill="1" applyBorder="1" applyAlignment="1">
      <x:alignment vertical="center" wrapText="1"/>
    </x:xf>
    <x:xf numFmtId="200" fontId="29" fillId="0" borderId="0" xfId="0" applyNumberFormat="1" applyFont="1" applyFill="1" applyBorder="1" applyAlignment="1">
      <x:alignment vertical="center" wrapText="1"/>
    </x:xf>
    <x:xf numFmtId="0" fontId="29" fillId="10" borderId="0" xfId="0" applyNumberFormat="1" applyFont="1" applyFill="1" applyBorder="1" applyAlignment="1">
      <x:alignment vertical="center" wrapText="1"/>
    </x:xf>
    <x:xf numFmtId="200" fontId="29" fillId="10" borderId="0" xfId="0" applyNumberFormat="1" applyFont="1" applyFill="1" applyBorder="1" applyAlignment="1">
      <x:alignment vertical="center" wrapText="1"/>
    </x:xf>
    <x:xf numFmtId="0" fontId="21" fillId="11" borderId="0" xfId="0" applyNumberFormat="1" applyFont="1" applyFill="1" applyBorder="1" applyAlignment="1">
      <x:alignment vertical="center" wrapText="1"/>
    </x:xf>
    <x:xf numFmtId="0" fontId="21" fillId="12" borderId="0" xfId="0" applyNumberFormat="1" applyFont="1" applyFill="1" applyBorder="1" applyAlignment="1">
      <x:alignment vertical="center" wrapText="1"/>
    </x:xf>
    <x:xf numFmtId="0" fontId="21" fillId="13" borderId="0" xfId="0" applyNumberFormat="1" applyFont="1" applyFill="1" applyBorder="1" applyAlignment="1">
      <x:alignment vertical="center" wrapText="1"/>
    </x:xf>
    <x:xf numFmtId="0" fontId="22" fillId="10" borderId="0" xfId="0" applyNumberFormat="1" applyFont="1" applyFill="1" applyBorder="1" applyAlignment="1">
      <x:alignment vertical="center" wrapText="1"/>
    </x:xf>
    <x:xf numFmtId="200" fontId="22" fillId="10" borderId="0" xfId="0" applyNumberFormat="1" applyFont="1" applyFill="1" applyBorder="1" applyAlignment="1">
      <x:alignment vertical="center" wrapText="1"/>
    </x:xf>
    <x:xf numFmtId="0" fontId="21" fillId="21" borderId="0" xfId="0" applyNumberFormat="1" applyFont="1" applyFill="1" applyBorder="1" applyAlignment="1">
      <x:alignment vertical="center" wrapText="1"/>
    </x:xf>
    <x:xf numFmtId="0" fontId="21" fillId="22" borderId="0" xfId="0" applyNumberFormat="1" applyFont="1" applyFill="1" applyBorder="1" applyAlignment="1">
      <x:alignment vertical="center" wrapText="1"/>
    </x:xf>
    <x:xf numFmtId="0" fontId="30" fillId="22" borderId="0" xfId="0" applyNumberFormat="1" applyFont="1" applyFill="1" applyBorder="1" applyAlignment="1">
      <x:alignment vertical="center" wrapText="1"/>
    </x:xf>
    <x:xf numFmtId="0" fontId="21" fillId="23" borderId="0" xfId="0" applyNumberFormat="1" applyFont="1" applyFill="1" applyBorder="1" applyAlignment="1">
      <x:alignment vertical="center" wrapText="1"/>
    </x:xf>
    <x:xf numFmtId="0" fontId="31" fillId="23" borderId="0" xfId="0" applyNumberFormat="1" applyFont="1" applyFill="1" applyBorder="1" applyAlignment="1">
      <x:alignment vertical="center" wrapText="1"/>
    </x:xf>
    <x:xf numFmtId="0" fontId="22" fillId="24" borderId="0" xfId="0" applyNumberFormat="1" applyFont="1" applyFill="1" applyBorder="1" applyAlignment="1">
      <x:alignment vertical="center" wrapText="1"/>
    </x:xf>
    <x:xf numFmtId="0" fontId="32" fillId="24" borderId="0" xfId="0" applyNumberFormat="1" applyFont="1" applyFill="1" applyBorder="1" applyAlignment="1">
      <x:alignment vertical="center" wrapText="1"/>
    </x:xf>
    <x:xf numFmtId="0" fontId="33" fillId="22" borderId="0" xfId="0" applyNumberFormat="1" applyFont="1" applyFill="1" applyBorder="1" applyAlignment="1">
      <x:alignment vertical="center" wrapText="1"/>
    </x:xf>
    <x:xf numFmtId="0" fontId="34" fillId="17" borderId="0" xfId="0" applyNumberFormat="1" applyFont="1" applyFill="1" applyBorder="1" applyAlignment="1">
      <x:alignment vertical="center" wrapText="1"/>
    </x:xf>
    <x:xf numFmtId="0" fontId="22" fillId="23" borderId="0" xfId="0" applyNumberFormat="1" applyFont="1" applyFill="1" applyBorder="1" applyAlignment="1">
      <x:alignment vertical="center" wrapText="1"/>
    </x:xf>
    <x:xf numFmtId="200" fontId="22" fillId="24" borderId="0" xfId="0" applyNumberFormat="1" applyFont="1" applyFill="1" applyBorder="1" applyAlignment="1">
      <x:alignment vertical="center" wrapText="1"/>
    </x:xf>
    <x:xf numFmtId="0" fontId="35" fillId="24" borderId="0" xfId="0" applyNumberFormat="1" applyFont="1" applyFill="1" applyBorder="1" applyAlignment="1">
      <x:alignment vertical="center" wrapText="1"/>
    </x:xf>
    <x:xf numFmtId="200" fontId="35" fillId="24" borderId="0" xfId="0" applyNumberFormat="1" applyFont="1" applyFill="1" applyBorder="1" applyAlignment="1">
      <x:alignment vertical="center" wrapText="1"/>
    </x:xf>
    <x:xf numFmtId="0" fontId="35" fillId="24" borderId="0" xfId="0" applyNumberFormat="1" applyFont="1" applyFill="1" applyBorder="1" applyAlignment="1">
      <x:alignment horizontal="right" vertical="center" wrapText="1"/>
    </x:xf>
    <x:xf numFmtId="200" fontId="35" fillId="24" borderId="0" xfId="0" applyNumberFormat="1" applyFont="1" applyFill="1" applyBorder="1" applyAlignment="1">
      <x:alignment horizontal="right" vertical="center" wrapText="1"/>
    </x:xf>
    <x:xf numFmtId="0" fontId="36" fillId="22" borderId="0" xfId="0" applyNumberFormat="1" applyFont="1" applyFill="1" applyBorder="1" applyAlignment="1">
      <x:alignment vertical="center" wrapText="1"/>
    </x:xf>
    <x:xf numFmtId="0" fontId="37" fillId="17" borderId="0" xfId="0" applyNumberFormat="1" applyFont="1" applyFill="1" applyBorder="1" applyAlignment="1">
      <x:alignment vertical="center" wrapText="1"/>
    </x:xf>
    <x:xf numFmtId="0" fontId="37" fillId="18" borderId="0" xfId="0" applyNumberFormat="1" applyFont="1" applyFill="1" applyBorder="1" applyAlignment="1">
      <x:alignment vertical="center" wrapText="1"/>
    </x:xf>
    <x:xf numFmtId="202" fontId="21" fillId="17" borderId="0" xfId="0" applyNumberFormat="1" applyFont="1" applyFill="1" applyBorder="1" applyAlignment="1">
      <x:alignment vertical="center" wrapText="1"/>
    </x:xf>
    <x:xf numFmtId="202" fontId="21" fillId="18" borderId="0" xfId="0" applyNumberFormat="1" applyFont="1" applyFill="1" applyBorder="1" applyAlignment="1">
      <x:alignment vertical="center" wrapText="1"/>
    </x:xf>
    <x:xf numFmtId="202" fontId="37" fillId="17" borderId="0" xfId="0" applyNumberFormat="1" applyFont="1" applyFill="1" applyBorder="1" applyAlignment="1">
      <x:alignment vertical="center" wrapText="1"/>
    </x:xf>
    <x:xf numFmtId="202" fontId="37" fillId="18" borderId="0" xfId="0" applyNumberFormat="1" applyFont="1" applyFill="1" applyBorder="1" applyAlignment="1">
      <x:alignment vertical="center" wrapText="1"/>
    </x:xf>
    <x:xf numFmtId="0" fontId="38" fillId="22" borderId="0" xfId="0" applyNumberFormat="1" applyFont="1" applyFill="1" applyBorder="1" applyAlignment="1">
      <x:alignment vertical="center" wrapText="1"/>
    </x:xf>
    <x:xf numFmtId="201" fontId="22" fillId="23" borderId="0" xfId="0" applyNumberFormat="1" applyFont="1" applyFill="1" applyBorder="1" applyAlignment="1">
      <x:alignment vertical="center" wrapText="1"/>
    </x:xf>
    <x:xf numFmtId="0" fontId="39" fillId="23" borderId="0" xfId="0" applyNumberFormat="1" applyFont="1" applyFill="1" applyBorder="1" applyAlignment="1">
      <x:alignment vertical="center" wrapText="1"/>
    </x:xf>
    <x:xf numFmtId="201" fontId="39" fillId="23" borderId="0" xfId="0" applyNumberFormat="1" applyFont="1" applyFill="1" applyBorder="1" applyAlignment="1">
      <x:alignment vertical="center" wrapText="1"/>
    </x:xf>
    <x:xf numFmtId="0" fontId="40" fillId="23" borderId="0" xfId="0" applyNumberFormat="1" applyFont="1" applyFill="1" applyBorder="1" applyAlignment="1">
      <x:alignment vertical="center" wrapText="1"/>
    </x:xf>
    <x:xf numFmtId="201" fontId="22" fillId="24" borderId="0" xfId="0" applyNumberFormat="1" applyFont="1" applyFill="1" applyBorder="1" applyAlignment="1">
      <x:alignment vertical="center" wrapText="1"/>
    </x:xf>
    <x:xf numFmtId="201" fontId="41" fillId="24" borderId="0" xfId="0" applyNumberFormat="1" applyFont="1" applyFill="1" applyBorder="1" applyAlignment="1">
      <x:alignment vertical="center" wrapText="1"/>
    </x:xf>
    <x:xf numFmtId="201" fontId="42" fillId="24" borderId="0" xfId="0" applyNumberFormat="1" applyFont="1" applyFill="1" applyBorder="1" applyAlignment="1">
      <x:alignment vertical="center" wrapText="1"/>
    </x:xf>
    <x:xf numFmtId="200" fontId="37" fillId="17" borderId="0" xfId="0" applyNumberFormat="1" applyFont="1" applyFill="1" applyBorder="1" applyAlignment="1">
      <x:alignment vertical="center" wrapText="1"/>
    </x:xf>
    <x:xf numFmtId="200" fontId="37" fillId="1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a1fc7a8174d10" /><Relationship Type="http://schemas.openxmlformats.org/officeDocument/2006/relationships/theme" Target="/xl/theme/theme1.xml" Id="R494d59b7adca4af1" /><Relationship Type="http://schemas.openxmlformats.org/officeDocument/2006/relationships/sharedStrings" Target="/xl/sharedStrings.xml" Id="R3276c8eaa8d34ceb" /><Relationship Type="http://schemas.openxmlformats.org/officeDocument/2006/relationships/worksheet" Target="/xl/worksheets/sheet1.xml" Id="R0caca29b0ed14457" /><Relationship Type="http://schemas.openxmlformats.org/officeDocument/2006/relationships/worksheet" Target="/xl/worksheets/sheet2.xml" Id="R727036f295e24661" /><Relationship Type="http://schemas.openxmlformats.org/officeDocument/2006/relationships/worksheet" Target="/xl/worksheets/sheet3.xml" Id="Rcc6dee8c458a43c1" /><Relationship Type="http://schemas.openxmlformats.org/officeDocument/2006/relationships/worksheet" Target="/xl/worksheets/sheet4.xml" Id="R20d0a652f36e4f77" /><Relationship Type="http://schemas.openxmlformats.org/officeDocument/2006/relationships/worksheet" Target="/xl/worksheets/sheet5.xml" Id="R1ccb77c3e50142d6" /><Relationship Type="http://schemas.openxmlformats.org/officeDocument/2006/relationships/worksheet" Target="/xl/worksheets/sheet6.xml" Id="R7a98a922b8bf4d2f" /><Relationship Type="http://schemas.openxmlformats.org/officeDocument/2006/relationships/worksheet" Target="/xl/worksheets/sheet7.xml" Id="R87fb80fc5c9f4e20" /><Relationship Type="http://schemas.openxmlformats.org/officeDocument/2006/relationships/worksheet" Target="/xl/worksheets/sheet8.xml" Id="R3803ad0e26cc4e27" /><Relationship Type="http://schemas.openxmlformats.org/officeDocument/2006/relationships/worksheet" Target="/xl/worksheets/sheet9.xml" Id="R1137e794425f4980" /><Relationship Type="http://schemas.openxmlformats.org/officeDocument/2006/relationships/worksheet" Target="/xl/worksheets/sheet10.xml" Id="R4ed0afe7178e400a" /><Relationship Type="http://schemas.openxmlformats.org/officeDocument/2006/relationships/worksheet" Target="/xl/worksheets/sheet11.xml" Id="R742f7bde3ea842f3" /></Relationships>
</file>

<file path=xl/tables/table1.xml><?xml version="1.0" encoding="utf-8"?>
<x:table xmlns:x="http://schemas.openxmlformats.org/spreadsheetml/2006/main" id="1" name="SalesRoutesV10" displayName="SalesRoutesV10" ref="A4:P17" headerRowCount="1" totalsRowCount="0" totalsRowShown="0">
  <x:tableColumns count="16">
    <x:tableColumn id="1" name="Config ID"/>
    <x:tableColumn id="2" name="Segment"/>
    <x:tableColumn id="3" name="Configuration route"/>
    <x:tableColumn id="4" name="Source recommendation"/>
    <x:tableColumn id="5" name="Use case / purpose"/>
    <x:tableColumn id="6" name="Release status"/>
    <x:tableColumn id="7" name="Sales action"/>
    <x:tableColumn id="8" name="Project / customer"/>
    <x:tableColumn id="9" name="Machine / model"/>
    <x:tableColumn id="10" name="Country / region"/>
    <x:tableColumn id="11" name="Vehicles"/>
    <x:tableColumn id="12" name="Required coverage / camera positions"/>
    <x:tableColumn id="13" name="Power / voltage"/>
    <x:tableColumn id="14" name="Connectivity / cloud required"/>
    <x:tableColumn id="15" name="Other project requirements"/>
    <x:tableColumn id="16" name="St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BOMSourceV10" displayName="RouteBOMSourceV10" ref="A1:R124" headerRowCount="1" totalsRowCount="0" totalsRowShown="0">
  <x:tableColumns count="18">
    <x:tableColumn id="1" name="Lookup key"/>
    <x:tableColumn id="2" name="Config ID"/>
    <x:tableColumn id="3" name="Line ID"/>
    <x:tableColumn id="4" name="Component / assembly"/>
    <x:tableColumn id="5" name="Category"/>
    <x:tableColumn id="6" name="Requirement basis"/>
    <x:tableColumn id="7" name="Selection / inclusion"/>
    <x:tableColumn id="8" name="Qty per vehicle"/>
    <x:tableColumn id="9" name="Qty basis"/>
    <x:tableColumn id="10" name="Orderable Part Number"/>
    <x:tableColumn id="11" name="Variant / specification to confirm"/>
    <x:tableColumn id="12" name="Included in kit?"/>
    <x:tableColumn id="13" name="Compatibility / interface to confirm"/>
    <x:tableColumn id="14" name="NA adaptation / certification"/>
    <x:tableColumn id="15" name="Validation status"/>
    <x:tableColumn id="16" name="Owner"/>
    <x:tableColumn id="17" name="Notes"/>
    <x:tableColumn id="18" name="Alternative model / PN (verify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stRegionsV10" displayName="HostRegionsV10" ref="A4:G12" headerRowCount="1" totalsRowCount="0" totalsRowShown="0">
  <x:tableColumns count="7">
    <x:tableColumn id="1" name="Product"/>
    <x:tableColumn id="2" name="Region"/>
    <x:tableColumn id="3" name="Full host SKU"/>
    <x:tableColumn id="4" name="Enclosure"/>
    <x:tableColumn id="5" name="Drive included?"/>
    <x:tableColumn id="6" name="Version / configuration"/>
    <x:tableColumn id="7" name="Sales availabi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bleOptionsV10" displayName="CableOptionsV10" ref="A4:E13" headerRowCount="1" totalsRowCount="0" totalsRowShown="0">
  <x:tableColumns count="5">
    <x:tableColumn id="1" name="Part family"/>
    <x:tableColumn id="2" name="Length"/>
    <x:tableColumn id="3" name="Full part number"/>
    <x:tableColumn id="4" name="Interface / application"/>
    <x:tableColumn id="5" name="Procurement guid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ustomerFitV10" displayName="CustomerFitV10" ref="A4:F9" headerRowCount="1" totalsRowCount="0" totalsRowShown="0">
  <x:tableColumns count="6">
    <x:tableColumn id="1" name="Solution"/>
    <x:tableColumn id="2" name="Vehicle / risk fit"/>
    <x:tableColumn id="3" name="Hardware placement &amp; coverage"/>
    <x:tableColumn id="4" name="Driver habits / perceived value"/>
    <x:tableColumn id="5" name="Relative compute"/>
    <x:tableColumn id="6" name="Limitations / purchase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oteGateV10" displayName="QuoteGateV10" ref="A4:E11" headerRowCount="1" totalsRowCount="0" totalsRowShown="0">
  <x:tableColumns count="5">
    <x:tableColumn id="1" name="Step"/>
    <x:tableColumn id="2" name="Required sales action"/>
    <x:tableColumn id="3" name="Owner"/>
    <x:tableColumn id="4" name="Evidence / deliverabl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db4da3f16e43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cd171c7a914f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6df9ff7baf42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1b154c49ee48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a3f87ce2b34c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85cad316dc14a94" /></Relationships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47" hidden="0" customWidth="1"/>
    <x:col min="3" max="3" width="14" hidden="0" customWidth="1"/>
    <x:col min="4" max="4" width="23" hidden="0" customWidth="1"/>
    <x:col min="5" max="5" width="58" hidden="0" customWidth="1"/>
    <x:col min="6" max="6" width="30" hidden="0" customWidth="1"/>
    <x:col min="7" max="7" width="63" hidden="0" customWidth="1"/>
    <x:col min="8" max="8" width="59" hidden="0" customWidth="1"/>
    <x:col min="9" max="9" width="33" hidden="0" customWidth="1"/>
  </x:cols>
  <x:sheetData>
    <x:row r="1" ht="38" customHeight="1">
      <x:c r="A1" s="144" t="str">
        <x:v>01  SALES SOLUTION CONFIGURATOR | C01–C11</x:v>
      </x:c>
      <x:c r="B1" s="144"/>
      <x:c r="C1" s="144"/>
      <x:c r="D1" s="144"/>
      <x:c r="E1" s="144"/>
      <x:c r="F1" s="144"/>
      <x:c r="G1" s="144"/>
      <x:c r="H1" s="144"/>
      <x:c r="I1" s="144"/>
    </x:row>
    <x:row r="2" ht="43" customHeight="1">
      <x:c r="A2" s="145" t="str">
        <x:v>Use 01 for selection, BOM composition and ownership costing; use 03 for interface evidence, versions and QA sign-off. Combined BOM requires a second system/PM check before release.</x:v>
      </x:c>
      <x:c r="B2" s="145"/>
      <x:c r="C2" s="145"/>
      <x:c r="D2" s="145"/>
      <x:c r="E2" s="145"/>
      <x:c r="F2" s="145"/>
      <x:c r="G2" s="145"/>
      <x:c r="H2" s="145"/>
      <x:c r="I2" s="145"/>
    </x:row>
    <x:row r="3" ht="30" customHeight="1">
      <x:c r="A3" s="204" t="str">
        <x:v>Selected Config ID</x:v>
      </x:c>
      <x:c r="B3" s="224" t="str">
        <x:v>C06</x:v>
      </x:c>
      <x:c r="C3" s="136"/>
      <x:c r="D3" s="136"/>
      <x:c r="E3" s="136"/>
      <x:c r="F3" s="136"/>
      <x:c r="G3" s="136"/>
      <x:c r="H3" s="136"/>
      <x:c r="I3" s="136"/>
    </x:row>
    <x:row r="4" ht="30" customHeight="1">
      <x:c r="A4" s="204" t="str">
        <x:v>Configuration status</x:v>
      </x:c>
      <x:c r="B4" s="226" t="str">
        <x:f>IFERROR(INDEX(Routes!$F$5:$F$15,MATCH(B3,Routes!$A$5:$A$15,0)),"Select a valid C01–C11 Config ID")</x:f>
        <x:v>Configuration specified; formal QA in 03</x:v>
      </x:c>
      <x:c r="C4" s="136"/>
      <x:c r="D4" s="136"/>
      <x:c r="E4" s="136"/>
      <x:c r="F4" s="136"/>
      <x:c r="G4" s="136"/>
      <x:c r="H4" s="136"/>
      <x:c r="I4" s="136"/>
    </x:row>
    <x:row r="5" ht="58" customHeight="1">
      <x:c r="A5" s="227" t="str">
        <x:v>RELEASE GATE: all route IDs, kit items and line SKUs are based on user-authoritative C01–C11 reference. After selecting options, recheck full SKU/quantity/kit inclusion in ERP/PDM or obtain PM approval before customer release.</x:v>
      </x:c>
      <x:c r="B5" s="227"/>
      <x:c r="C5" s="227"/>
      <x:c r="D5" s="227"/>
      <x:c r="E5" s="227"/>
      <x:c r="F5" s="227"/>
      <x:c r="G5" s="227"/>
      <x:c r="H5" s="227"/>
      <x:c r="I5" s="227"/>
    </x:row>
    <x:row r="6" ht="26" customHeight="1">
      <x:c r="A6" s="228" t="str">
        <x:v>COLOR KEY</x:v>
      </x:c>
      <x:c r="B6" s="229" t="str">
        <x:v>Editable selector</x:v>
      </x:c>
      <x:c r="C6" s="225" t="str">
        <x:v>Calculated value</x:v>
      </x:c>
      <x:c r="D6" s="148" t="str">
        <x:v>Review required</x:v>
      </x:c>
      <x:c r="E6" s="136"/>
      <x:c r="F6" s="136"/>
      <x:c r="G6" s="136"/>
      <x:c r="H6" s="136"/>
      <x:c r="I6" s="136"/>
    </x:row>
    <x:row r="7" ht="40" customHeight="1">
      <x:c r="A7" s="141" t="str">
        <x:v>Line ID</x:v>
      </x:c>
      <x:c r="B7" s="141" t="str">
        <x:v>Assembly / component</x:v>
      </x:c>
      <x:c r="C7" s="141" t="str">
        <x:v>Qty</x:v>
      </x:c>
      <x:c r="D7" s="141" t="str">
        <x:v>Full Part Number</x:v>
      </x:c>
      <x:c r="E7" s="141" t="str">
        <x:v>Purchase / inclusion rule</x:v>
      </x:c>
      <x:c r="F7" s="141" t="str">
        <x:v>Source</x:v>
      </x:c>
      <x:c r="G7" s="141" t="str">
        <x:v>Specification / important difference</x:v>
      </x:c>
      <x:c r="H7" s="141" t="str">
        <x:v>Validation status</x:v>
      </x:c>
      <x:c r="I7" s="141" t="str">
        <x:v>Alternative / regional SKU</x:v>
      </x:c>
    </x:row>
    <x:row r="8" ht="56" customHeight="1">
      <x:c r="A8" s="136" t="str">
        <x:f>IFERROR(IF(INDEX('BOM Data'!$C$2:$C$180,MATCH($B$3&amp;"-"&amp;1,'BOM Data'!$A$2:$A$180,0))="","",INDEX('BOM Data'!$C$2:$C$180,MATCH($B$3&amp;"-"&amp;1,'BOM Data'!$A$2:$A$180,0))),"")</x:f>
        <x:v>C06-01</x:v>
      </x:c>
      <x:c r="B8" s="136" t="str">
        <x:f>IFERROR(IF(INDEX('BOM Data'!$D$2:$D$180,MATCH($B$3&amp;"-"&amp;1,'BOM Data'!$A$2:$A$180,0))="","",INDEX('BOM Data'!$D$2:$D$180,MATCH($B$3&amp;"-"&amp;1,'BOM Data'!$A$2:$A$180,0))),"")</x:f>
        <x:v>M3N H0404 North America kit</x:v>
      </x:c>
      <x:c r="C8" s="233" t="n">
        <x:f>IFERROR(IF(INDEX('BOM Data'!$H$2:$H$180,MATCH($B$3&amp;"-"&amp;1,'BOM Data'!$A$2:$A$180,0))="","",INDEX('BOM Data'!$H$2:$H$180,MATCH($B$3&amp;"-"&amp;1,'BOM Data'!$A$2:$A$180,0))),"")</x:f>
        <x:v>1</x:v>
      </x:c>
      <x:c r="D8" s="234" t="n">
        <x:f>IFERROR(IF(INDEX('BOM Data'!$J$2:$J$180,MATCH($B$3&amp;"-"&amp;1,'BOM Data'!$A$2:$A$180,0))="","",INDEX('BOM Data'!$J$2:$J$180,MATCH($B$3&amp;"-"&amp;1,'BOM Data'!$A$2:$A$180,0))),"")</x:f>
        <x:v>5120121100005</x:v>
      </x:c>
      <x:c r="E8" s="136" t="str">
        <x:f>IFERROR(IF(INDEX('BOM Data'!$G$2:$G$180,MATCH($B$3&amp;"-"&amp;1,'BOM Data'!$A$2:$A$180,0))="","",INDEX('BOM Data'!$G$2:$G$180,MATCH($B$3&amp;"-"&amp;1,'BOM Data'!$A$2:$A$180,0))),"")</x:f>
        <x:v>1 host kit / vehicle</x:v>
      </x:c>
      <x:c r="F8" s="136" t="str">
        <x:f>IFERROR(IF(INDEX('BOM Data'!$F$2:$F$180,MATCH($B$3&amp;"-"&amp;1,'BOM Data'!$A$2:$A$180,0))="","",INDEX('BOM Data'!$F$2:$F$180,MATCH($B$3&amp;"-"&amp;1,'BOM Data'!$A$2:$A$180,0))),"")</x:f>
        <x:v>User confirmed 2026-10-22</x:v>
      </x:c>
      <x:c r="G8" s="136" t="str">
        <x:f>IFERROR(IF(INDEX('BOM Data'!$K$2:$K$180,MATCH($B$3&amp;"-"&amp;1,'BOM Data'!$A$2:$A$180,0))="","",INDEX('BOM Data'!$K$2:$K$180,MATCH($B$3&amp;"-"&amp;1,'BOM Data'!$A$2:$A$180,0))),"")</x:f>
        <x:v>H0404 includes HDD enclosure, not HDD/SSD; 20-pin included</x:v>
      </x:c>
      <x:c r="H8" s="136" t="str">
        <x:f>IFERROR(IF(INDEX('BOM Data'!$O$2:$O$180,MATCH($B$3&amp;"-"&amp;1,'BOM Data'!$A$2:$A$180,0))="","",INDEX('BOM Data'!$O$2:$O$180,MATCH($B$3&amp;"-"&amp;1,'BOM Data'!$A$2:$A$180,0))),"")</x:f>
        <x:v>SKU/configuration per user reference; formal QA evidence tracked separately in 03</x:v>
      </x:c>
      <x:c r="I8" s="136" t="str">
        <x:f>IFERROR(IF(INDEX('BOM Data'!$R$2:$R$180,MATCH($B$3&amp;"-"&amp;1,'BOM Data'!$A$2:$A$180,0))="","",INDEX('BOM Data'!$R$2:$R$180,MATCH($B$3&amp;"-"&amp;1,'BOM Data'!$A$2:$A$180,0))),"")</x:f>
      </x:c>
    </x:row>
    <x:row r="9" ht="56" customHeight="1">
      <x:c r="A9" s="138" t="str">
        <x:f>IFERROR(IF(INDEX('BOM Data'!$C$2:$C$180,MATCH($B$3&amp;"-"&amp;2,'BOM Data'!$A$2:$A$180,0))="","",INDEX('BOM Data'!$C$2:$C$180,MATCH($B$3&amp;"-"&amp;2,'BOM Data'!$A$2:$A$180,0))),"")</x:f>
        <x:v>C06-02</x:v>
      </x:c>
      <x:c r="B9" s="138" t="str">
        <x:f>IFERROR(IF(INDEX('BOM Data'!$D$2:$D$180,MATCH($B$3&amp;"-"&amp;2,'BOM Data'!$A$2:$A$180,0))="","",INDEX('BOM Data'!$D$2:$D$180,MATCH($B$3&amp;"-"&amp;2,'BOM Data'!$A$2:$A$180,0))),"")</x:f>
        <x:v>C46 IPC / RS765-6</x:v>
      </x:c>
      <x:c r="C9" s="233" t="n">
        <x:f>IFERROR(IF(INDEX('BOM Data'!$H$2:$H$180,MATCH($B$3&amp;"-"&amp;2,'BOM Data'!$A$2:$A$180,0))="","",INDEX('BOM Data'!$H$2:$H$180,MATCH($B$3&amp;"-"&amp;2,'BOM Data'!$A$2:$A$180,0))),"")</x:f>
        <x:v>4</x:v>
      </x:c>
      <x:c r="D9" s="234" t="n">
        <x:f>IFERROR(IF(INDEX('BOM Data'!$J$2:$J$180,MATCH($B$3&amp;"-"&amp;2,'BOM Data'!$A$2:$A$180,0))="","",INDEX('BOM Data'!$J$2:$J$180,MATCH($B$3&amp;"-"&amp;2,'BOM Data'!$A$2:$A$180,0))),"")</x:f>
        <x:v>5152178100023</x:v>
      </x:c>
      <x:c r="E9" s="138" t="str">
        <x:f>IFERROR(IF(INDEX('BOM Data'!$G$2:$G$180,MATCH($B$3&amp;"-"&amp;2,'BOM Data'!$A$2:$A$180,0))="","",INDEX('BOM Data'!$G$2:$G$180,MATCH($B$3&amp;"-"&amp;2,'BOM Data'!$A$2:$A$180,0))),"")</x:f>
        <x:v>4 cameras per vehicle</x:v>
      </x:c>
      <x:c r="F9" s="138" t="str">
        <x:f>IFERROR(IF(INDEX('BOM Data'!$F$2:$F$180,MATCH($B$3&amp;"-"&amp;2,'BOM Data'!$A$2:$A$180,0))="","",INDEX('BOM Data'!$F$2:$F$180,MATCH($B$3&amp;"-"&amp;2,'BOM Data'!$A$2:$A$180,0))),"")</x:f>
        <x:v>User confirmed 2026-10-22</x:v>
      </x:c>
      <x:c r="G9" s="138" t="str">
        <x:f>IFERROR(IF(INDEX('BOM Data'!$K$2:$K$180,MATCH($B$3&amp;"-"&amp;2,'BOM Data'!$A$2:$A$180,0))="","",INDEX('BOM Data'!$K$2:$K$180,MATCH($B$3&amp;"-"&amp;2,'BOM Data'!$A$2:$A$180,0))),"")</x:f>
        <x:v>Standard mount and screws included. Camera RS765-6 output is NOT waterproof.</x:v>
      </x:c>
      <x:c r="H9" s="138" t="str">
        <x:f>IFERROR(IF(INDEX('BOM Data'!$O$2:$O$180,MATCH($B$3&amp;"-"&amp;2,'BOM Data'!$A$2:$A$180,0))="","",INDEX('BOM Data'!$O$2:$O$180,MATCH($B$3&amp;"-"&amp;2,'BOM Data'!$A$2:$A$180,0))),"")</x:f>
        <x:v>SKU/configuration per user reference; formal QA evidence tracked separately in 03</x:v>
      </x:c>
      <x:c r="I9" s="138" t="str">
        <x:f>IFERROR(IF(INDEX('BOM Data'!$R$2:$R$180,MATCH($B$3&amp;"-"&amp;2,'BOM Data'!$A$2:$A$180,0))="","",INDEX('BOM Data'!$R$2:$R$180,MATCH($B$3&amp;"-"&amp;2,'BOM Data'!$A$2:$A$180,0))),"")</x:f>
      </x:c>
    </x:row>
    <x:row r="10" ht="56" customHeight="1">
      <x:c r="A10" s="136" t="str">
        <x:f>IFERROR(IF(INDEX('BOM Data'!$C$2:$C$180,MATCH($B$3&amp;"-"&amp;3,'BOM Data'!$A$2:$A$180,0))="","",INDEX('BOM Data'!$C$2:$C$180,MATCH($B$3&amp;"-"&amp;3,'BOM Data'!$A$2:$A$180,0))),"")</x:f>
        <x:v>C06-03</x:v>
      </x:c>
      <x:c r="B10" s="136" t="str">
        <x:f>IFERROR(IF(INDEX('BOM Data'!$D$2:$D$180,MATCH($B$3&amp;"-"&amp;3,'BOM Data'!$A$2:$A$180,0))="","",INDEX('BOM Data'!$D$2:$D$180,MATCH($B$3&amp;"-"&amp;3,'BOM Data'!$A$2:$A$180,0))),"")</x:f>
        <x:v>Camera extension 7m EN — reference length</x:v>
      </x:c>
      <x:c r="C10" s="233" t="str">
        <x:f>IFERROR(IF(INDEX('BOM Data'!$H$2:$H$180,MATCH($B$3&amp;"-"&amp;3,'BOM Data'!$A$2:$A$180,0))="","",INDEX('BOM Data'!$H$2:$H$180,MATCH($B$3&amp;"-"&amp;3,'BOM Data'!$A$2:$A$180,0))),"")</x:f>
      </x:c>
      <x:c r="D10" s="234" t="n">
        <x:f>IFERROR(IF(INDEX('BOM Data'!$J$2:$J$180,MATCH($B$3&amp;"-"&amp;3,'BOM Data'!$A$2:$A$180,0))="","",INDEX('BOM Data'!$J$2:$J$180,MATCH($B$3&amp;"-"&amp;3,'BOM Data'!$A$2:$A$180,0))),"")</x:f>
        <x:v>1260010000353</x:v>
      </x:c>
      <x:c r="E10" s="136" t="str">
        <x:f>IFERROR(IF(INDEX('BOM Data'!$G$2:$G$180,MATCH($B$3&amp;"-"&amp;3,'BOM Data'!$A$2:$A$180,0))="","",INDEX('BOM Data'!$G$2:$G$180,MATCH($B$3&amp;"-"&amp;3,'BOM Data'!$A$2:$A$180,0))),"")</x:f>
        <x:v>Sample length ONLY; select 3/5/7/11/15m based on actual camera run; not automatically 7m</x:v>
      </x:c>
      <x:c r="F10" s="136" t="str">
        <x:f>IFERROR(IF(INDEX('BOM Data'!$F$2:$F$180,MATCH($B$3&amp;"-"&amp;3,'BOM Data'!$A$2:$A$180,0))="","",INDEX('BOM Data'!$F$2:$F$180,MATCH($B$3&amp;"-"&amp;3,'BOM Data'!$A$2:$A$180,0))),"")</x:f>
        <x:v>User confirmed 2026-10-22</x:v>
      </x:c>
      <x:c r="G10" s="136" t="str">
        <x:f>IFERROR(IF(INDEX('BOM Data'!$K$2:$K$180,MATCH($B$3&amp;"-"&amp;3,'BOM Data'!$A$2:$A$180,0))="","",INDEX('BOM Data'!$K$2:$K$180,MATCH($B$3&amp;"-"&amp;3,'BOM Data'!$A$2:$A$180,0))),"")</x:f>
        <x:v>Standard cable lengths 3 / 5 / 7 / 11 / 15 m; full SKUs in Camera Cable Options.</x:v>
      </x:c>
      <x:c r="H10" s="136" t="str">
        <x:f>IFERROR(IF(INDEX('BOM Data'!$O$2:$O$180,MATCH($B$3&amp;"-"&amp;3,'BOM Data'!$A$2:$A$180,0))="","",INDEX('BOM Data'!$O$2:$O$180,MATCH($B$3&amp;"-"&amp;3,'BOM Data'!$A$2:$A$180,0))),"")</x:f>
        <x:v>SKU/configuration per user reference; formal QA evidence tracked separately in 03</x:v>
      </x:c>
      <x:c r="I10" s="136" t="str">
        <x:f>IFERROR(IF(INDEX('BOM Data'!$R$2:$R$180,MATCH($B$3&amp;"-"&amp;3,'BOM Data'!$A$2:$A$180,0))="","",INDEX('BOM Data'!$R$2:$R$180,MATCH($B$3&amp;"-"&amp;3,'BOM Data'!$A$2:$A$180,0))),"")</x:f>
      </x:c>
    </x:row>
    <x:row r="11" ht="56" customHeight="1">
      <x:c r="A11" s="138" t="str">
        <x:f>IFERROR(IF(INDEX('BOM Data'!$C$2:$C$180,MATCH($B$3&amp;"-"&amp;4,'BOM Data'!$A$2:$A$180,0))="","",INDEX('BOM Data'!$C$2:$C$180,MATCH($B$3&amp;"-"&amp;4,'BOM Data'!$A$2:$A$180,0))),"")</x:f>
        <x:v>C06-04</x:v>
      </x:c>
      <x:c r="B11" s="138" t="str">
        <x:f>IFERROR(IF(INDEX('BOM Data'!$D$2:$D$180,MATCH($B$3&amp;"-"&amp;4,'BOM Data'!$A$2:$A$180,0))="","",INDEX('BOM Data'!$D$2:$D$180,MATCH($B$3&amp;"-"&amp;4,'BOM Data'!$A$2:$A$180,0))),"")</x:f>
        <x:v>BA5-O current M12-4 external alarm</x:v>
      </x:c>
      <x:c r="C11" s="233" t="n">
        <x:f>IFERROR(IF(INDEX('BOM Data'!$H$2:$H$180,MATCH($B$3&amp;"-"&amp;4,'BOM Data'!$A$2:$A$180,0))="","",INDEX('BOM Data'!$H$2:$H$180,MATCH($B$3&amp;"-"&amp;4,'BOM Data'!$A$2:$A$180,0))),"")</x:f>
        <x:v>1</x:v>
      </x:c>
      <x:c r="D11" s="234" t="n">
        <x:f>IFERROR(IF(INDEX('BOM Data'!$J$2:$J$180,MATCH($B$3&amp;"-"&amp;4,'BOM Data'!$A$2:$A$180,0))="","",INDEX('BOM Data'!$J$2:$J$180,MATCH($B$3&amp;"-"&amp;4,'BOM Data'!$A$2:$A$180,0))),"")</x:f>
        <x:v>5164003100004</x:v>
      </x:c>
      <x:c r="E11" s="138" t="str">
        <x:f>IFERROR(IF(INDEX('BOM Data'!$G$2:$G$180,MATCH($B$3&amp;"-"&amp;4,'BOM Data'!$A$2:$A$180,0))="","",INDEX('BOM Data'!$G$2:$G$180,MATCH($B$3&amp;"-"&amp;4,'BOM Data'!$A$2:$A$180,0))),"")</x:f>
        <x:v>Standard 1/vehicle</x:v>
      </x:c>
      <x:c r="F11" s="138" t="str">
        <x:f>IFERROR(IF(INDEX('BOM Data'!$F$2:$F$180,MATCH($B$3&amp;"-"&amp;4,'BOM Data'!$A$2:$A$180,0))="","",INDEX('BOM Data'!$F$2:$F$180,MATCH($B$3&amp;"-"&amp;4,'BOM Data'!$A$2:$A$180,0))),"")</x:f>
        <x:v>User confirmed 2026-10-22</x:v>
      </x:c>
      <x:c r="G11" s="138" t="str">
        <x:f>IFERROR(IF(INDEX('BOM Data'!$K$2:$K$180,MATCH($B$3&amp;"-"&amp;4,'BOM Data'!$A$2:$A$180,0))="","",INDEX('BOM Data'!$K$2:$K$180,MATCH($B$3&amp;"-"&amp;4,'BOM Data'!$A$2:$A$180,0))),"")</x:f>
        <x:v>M12-4 RS485; direct standard harness connection if BA5-O is alone</x:v>
      </x:c>
      <x:c r="H11" s="138" t="str">
        <x:f>IFERROR(IF(INDEX('BOM Data'!$O$2:$O$180,MATCH($B$3&amp;"-"&amp;4,'BOM Data'!$A$2:$A$180,0))="","",INDEX('BOM Data'!$O$2:$O$180,MATCH($B$3&amp;"-"&amp;4,'BOM Data'!$A$2:$A$180,0))),"")</x:f>
        <x:v>SKU/configuration per user reference; formal QA evidence tracked separately in 03</x:v>
      </x:c>
      <x:c r="I11" s="138" t="str">
        <x:f>IFERROR(IF(INDEX('BOM Data'!$R$2:$R$180,MATCH($B$3&amp;"-"&amp;4,'BOM Data'!$A$2:$A$180,0))="","",INDEX('BOM Data'!$R$2:$R$180,MATCH($B$3&amp;"-"&amp;4,'BOM Data'!$A$2:$A$180,0))),"")</x:f>
      </x:c>
    </x:row>
    <x:row r="12" ht="56" customHeight="1">
      <x:c r="A12" s="136" t="str">
        <x:f>IFERROR(IF(INDEX('BOM Data'!$C$2:$C$180,MATCH($B$3&amp;"-"&amp;5,'BOM Data'!$A$2:$A$180,0))="","",INDEX('BOM Data'!$C$2:$C$180,MATCH($B$3&amp;"-"&amp;5,'BOM Data'!$A$2:$A$180,0))),"")</x:f>
        <x:v>C06-05</x:v>
      </x:c>
      <x:c r="B12" s="136" t="str">
        <x:f>IFERROR(IF(INDEX('BOM Data'!$D$2:$D$180,MATCH($B$3&amp;"-"&amp;5,'BOM Data'!$A$2:$A$180,0))="","",INDEX('BOM Data'!$D$2:$D$180,MATCH($B$3&amp;"-"&amp;5,'BOM Data'!$A$2:$A$180,0))),"")</x:f>
        <x:v>BA5-I current M12-4 directional in-cab alarm</x:v>
      </x:c>
      <x:c r="C12" s="233" t="n">
        <x:f>IFERROR(IF(INDEX('BOM Data'!$H$2:$H$180,MATCH($B$3&amp;"-"&amp;5,'BOM Data'!$A$2:$A$180,0))="","",INDEX('BOM Data'!$H$2:$H$180,MATCH($B$3&amp;"-"&amp;5,'BOM Data'!$A$2:$A$180,0))),"")</x:f>
        <x:v>1</x:v>
      </x:c>
      <x:c r="D12" s="234" t="n">
        <x:f>IFERROR(IF(INDEX('BOM Data'!$J$2:$J$180,MATCH($B$3&amp;"-"&amp;5,'BOM Data'!$A$2:$A$180,0))="","",INDEX('BOM Data'!$J$2:$J$180,MATCH($B$3&amp;"-"&amp;5,'BOM Data'!$A$2:$A$180,0))),"")</x:f>
        <x:v>5164002100004</x:v>
      </x:c>
      <x:c r="E12" s="136" t="str">
        <x:f>IFERROR(IF(INDEX('BOM Data'!$G$2:$G$180,MATCH($B$3&amp;"-"&amp;5,'BOM Data'!$A$2:$A$180,0))="","",INDEX('BOM Data'!$G$2:$G$180,MATCH($B$3&amp;"-"&amp;5,'BOM Data'!$A$2:$A$180,0))),"")</x:f>
        <x:v>Strongly recommend 1/vehicle when &gt;2 monitored blind spots; optional otherwise</x:v>
      </x:c>
      <x:c r="F12" s="136" t="str">
        <x:f>IFERROR(IF(INDEX('BOM Data'!$F$2:$F$180,MATCH($B$3&amp;"-"&amp;5,'BOM Data'!$A$2:$A$180,0))="","",INDEX('BOM Data'!$F$2:$F$180,MATCH($B$3&amp;"-"&amp;5,'BOM Data'!$A$2:$A$180,0))),"")</x:f>
        <x:v>User confirmed 2026-10-22</x:v>
      </x:c>
      <x:c r="G12" s="136" t="str">
        <x:f>IFERROR(IF(INDEX('BOM Data'!$K$2:$K$180,MATCH($B$3&amp;"-"&amp;5,'BOM Data'!$A$2:$A$180,0))="","",INDEX('BOM Data'!$K$2:$K$180,MATCH($B$3&amp;"-"&amp;5,'BOM Data'!$A$2:$A$180,0))),"")</x:f>
        <x:v>Four-direction warning indication, 5W speaker; fixed audio</x:v>
      </x:c>
      <x:c r="H12" s="136" t="str">
        <x:f>IFERROR(IF(INDEX('BOM Data'!$O$2:$O$180,MATCH($B$3&amp;"-"&amp;5,'BOM Data'!$A$2:$A$180,0))="","",INDEX('BOM Data'!$O$2:$O$180,MATCH($B$3&amp;"-"&amp;5,'BOM Data'!$A$2:$A$180,0))),"")</x:f>
        <x:v>SKU/configuration per user reference; formal QA evidence tracked separately in 03</x:v>
      </x:c>
      <x:c r="I12" s="136" t="str">
        <x:f>IFERROR(IF(INDEX('BOM Data'!$R$2:$R$180,MATCH($B$3&amp;"-"&amp;5,'BOM Data'!$A$2:$A$180,0))="","",INDEX('BOM Data'!$R$2:$R$180,MATCH($B$3&amp;"-"&amp;5,'BOM Data'!$A$2:$A$180,0))),"")</x:f>
      </x:c>
    </x:row>
    <x:row r="13" ht="56" customHeight="1">
      <x:c r="A13" s="138" t="str">
        <x:f>IFERROR(IF(INDEX('BOM Data'!$C$2:$C$180,MATCH($B$3&amp;"-"&amp;6,'BOM Data'!$A$2:$A$180,0))="","",INDEX('BOM Data'!$C$2:$C$180,MATCH($B$3&amp;"-"&amp;6,'BOM Data'!$A$2:$A$180,0))),"")</x:f>
        <x:v>C06-06</x:v>
      </x:c>
      <x:c r="B13" s="138" t="str">
        <x:f>IFERROR(IF(INDEX('BOM Data'!$D$2:$D$180,MATCH($B$3&amp;"-"&amp;6,'BOM Data'!$A$2:$A$180,0))="","",INDEX('BOM Data'!$D$2:$D$180,MATCH($B$3&amp;"-"&amp;6,'BOM Data'!$A$2:$A$180,0))),"")</x:f>
        <x:v>BA5-I/O dual-alarm RS485 adapter</x:v>
      </x:c>
      <x:c r="C13" s="233" t="str">
        <x:f>IFERROR(IF(INDEX('BOM Data'!$H$2:$H$180,MATCH($B$3&amp;"-"&amp;6,'BOM Data'!$A$2:$A$180,0))="","",INDEX('BOM Data'!$H$2:$H$180,MATCH($B$3&amp;"-"&amp;6,'BOM Data'!$A$2:$A$180,0))),"")</x:f>
      </x:c>
      <x:c r="D13" s="234" t="n">
        <x:f>IFERROR(IF(INDEX('BOM Data'!$J$2:$J$180,MATCH($B$3&amp;"-"&amp;6,'BOM Data'!$A$2:$A$180,0))="","",INDEX('BOM Data'!$J$2:$J$180,MATCH($B$3&amp;"-"&amp;6,'BOM Data'!$A$2:$A$180,0))),"")</x:f>
        <x:v>1261050100490</x:v>
      </x:c>
      <x:c r="E13" s="138" t="str">
        <x:f>IFERROR(IF(INDEX('BOM Data'!$G$2:$G$180,MATCH($B$3&amp;"-"&amp;6,'BOM Data'!$A$2:$A$180,0))="","",INDEX('BOM Data'!$G$2:$G$180,MATCH($B$3&amp;"-"&amp;6,'BOM Data'!$A$2:$A$180,0))),"")</x:f>
        <x:v>Mandatory 1/vehicle IF BA5-I and BA5-O both fitted</x:v>
      </x:c>
      <x:c r="F13" s="138" t="str">
        <x:f>IFERROR(IF(INDEX('BOM Data'!$F$2:$F$180,MATCH($B$3&amp;"-"&amp;6,'BOM Data'!$A$2:$A$180,0))="","",INDEX('BOM Data'!$F$2:$F$180,MATCH($B$3&amp;"-"&amp;6,'BOM Data'!$A$2:$A$180,0))),"")</x:f>
        <x:v>User confirmed 2026-10-22</x:v>
      </x:c>
      <x:c r="G13" s="138" t="str">
        <x:f>IFERROR(IF(INDEX('BOM Data'!$K$2:$K$180,MATCH($B$3&amp;"-"&amp;6,'BOM Data'!$A$2:$A$180,0))="","",INDEX('BOM Data'!$K$2:$K$180,MATCH($B$3&amp;"-"&amp;6,'BOM Data'!$A$2:$A$180,0))),"")</x:f>
        <x:v>No dedicated adapter when BA5-O alone</x:v>
      </x:c>
      <x:c r="H13" s="138" t="str">
        <x:f>IFERROR(IF(INDEX('BOM Data'!$O$2:$O$180,MATCH($B$3&amp;"-"&amp;6,'BOM Data'!$A$2:$A$180,0))="","",INDEX('BOM Data'!$O$2:$O$180,MATCH($B$3&amp;"-"&amp;6,'BOM Data'!$A$2:$A$180,0))),"")</x:f>
        <x:v>SKU/configuration per user reference; formal QA evidence tracked separately in 03</x:v>
      </x:c>
      <x:c r="I13" s="138" t="str">
        <x:f>IFERROR(IF(INDEX('BOM Data'!$R$2:$R$180,MATCH($B$3&amp;"-"&amp;6,'BOM Data'!$A$2:$A$180,0))="","",INDEX('BOM Data'!$R$2:$R$180,MATCH($B$3&amp;"-"&amp;6,'BOM Data'!$A$2:$A$180,0))),"")</x:f>
      </x:c>
    </x:row>
    <x:row r="14" ht="56" customHeight="1">
      <x:c r="A14" s="136" t="str">
        <x:f>IFERROR(IF(INDEX('BOM Data'!$C$2:$C$180,MATCH($B$3&amp;"-"&amp;7,'BOM Data'!$A$2:$A$180,0))="","",INDEX('BOM Data'!$C$2:$C$180,MATCH($B$3&amp;"-"&amp;7,'BOM Data'!$A$2:$A$180,0))),"")</x:f>
        <x:v>C06-07</x:v>
      </x:c>
      <x:c r="B14" s="136" t="str">
        <x:f>IFERROR(IF(INDEX('BOM Data'!$D$2:$D$180,MATCH($B$3&amp;"-"&amp;7,'BOM Data'!$A$2:$A$180,0))="","",INDEX('BOM Data'!$D$2:$D$180,MATCH($B$3&amp;"-"&amp;7,'BOM Data'!$A$2:$A$180,0))),"")</x:f>
        <x:v>BA5 3m waterproof extension (also DW7P)</x:v>
      </x:c>
      <x:c r="C14" s="233" t="str">
        <x:f>IFERROR(IF(INDEX('BOM Data'!$H$2:$H$180,MATCH($B$3&amp;"-"&amp;7,'BOM Data'!$A$2:$A$180,0))="","",INDEX('BOM Data'!$H$2:$H$180,MATCH($B$3&amp;"-"&amp;7,'BOM Data'!$A$2:$A$180,0))),"")</x:f>
      </x:c>
      <x:c r="D14" s="234" t="n">
        <x:f>IFERROR(IF(INDEX('BOM Data'!$J$2:$J$180,MATCH($B$3&amp;"-"&amp;7,'BOM Data'!$A$2:$A$180,0))="","",INDEX('BOM Data'!$J$2:$J$180,MATCH($B$3&amp;"-"&amp;7,'BOM Data'!$A$2:$A$180,0))),"")</x:f>
        <x:v>1260010100265</x:v>
      </x:c>
      <x:c r="E14" s="136" t="str">
        <x:f>IFERROR(IF(INDEX('BOM Data'!$G$2:$G$180,MATCH($B$3&amp;"-"&amp;7,'BOM Data'!$A$2:$A$180,0))="","",INDEX('BOM Data'!$G$2:$G$180,MATCH($B$3&amp;"-"&amp;7,'BOM Data'!$A$2:$A$180,0))),"")</x:f>
        <x:v>Only if extra 3m run required</x:v>
      </x:c>
      <x:c r="F14" s="136" t="str">
        <x:f>IFERROR(IF(INDEX('BOM Data'!$F$2:$F$180,MATCH($B$3&amp;"-"&amp;7,'BOM Data'!$A$2:$A$180,0))="","",INDEX('BOM Data'!$F$2:$F$180,MATCH($B$3&amp;"-"&amp;7,'BOM Data'!$A$2:$A$180,0))),"")</x:f>
        <x:v>User confirmed 2026-10-22</x:v>
      </x:c>
      <x:c r="G14" s="136" t="str">
        <x:f>IFERROR(IF(INDEX('BOM Data'!$K$2:$K$180,MATCH($B$3&amp;"-"&amp;7,'BOM Data'!$A$2:$A$180,0))="","",INDEX('BOM Data'!$K$2:$K$180,MATCH($B$3&amp;"-"&amp;7,'BOM Data'!$A$2:$A$180,0))),"")</x:f>
        <x:v>Confirmed shared 3m M12-4 extension for current BA5-I/O and DW7P</x:v>
      </x:c>
      <x:c r="H14" s="136" t="str">
        <x:f>IFERROR(IF(INDEX('BOM Data'!$O$2:$O$180,MATCH($B$3&amp;"-"&amp;7,'BOM Data'!$A$2:$A$180,0))="","",INDEX('BOM Data'!$O$2:$O$180,MATCH($B$3&amp;"-"&amp;7,'BOM Data'!$A$2:$A$180,0))),"")</x:f>
        <x:v>SKU/configuration per user reference; formal QA evidence tracked separately in 03</x:v>
      </x:c>
      <x:c r="I14" s="136" t="str">
        <x:f>IFERROR(IF(INDEX('BOM Data'!$R$2:$R$180,MATCH($B$3&amp;"-"&amp;7,'BOM Data'!$A$2:$A$180,0))="","",INDEX('BOM Data'!$R$2:$R$180,MATCH($B$3&amp;"-"&amp;7,'BOM Data'!$A$2:$A$180,0))),"")</x:f>
      </x:c>
    </x:row>
    <x:row r="15" ht="56" customHeight="1">
      <x:c r="A15" s="138" t="str">
        <x:f>IFERROR(IF(INDEX('BOM Data'!$C$2:$C$180,MATCH($B$3&amp;"-"&amp;8,'BOM Data'!$A$2:$A$180,0))="","",INDEX('BOM Data'!$C$2:$C$180,MATCH($B$3&amp;"-"&amp;8,'BOM Data'!$A$2:$A$180,0))),"")</x:f>
        <x:v>C06-08</x:v>
      </x:c>
      <x:c r="B15" s="138" t="str">
        <x:f>IFERROR(IF(INDEX('BOM Data'!$D$2:$D$180,MATCH($B$3&amp;"-"&amp;8,'BOM Data'!$A$2:$A$180,0))="","",INDEX('BOM Data'!$D$2:$D$180,MATCH($B$3&amp;"-"&amp;8,'BOM Data'!$A$2:$A$180,0))),"")</x:f>
        <x:v>BA5 7m extension</x:v>
      </x:c>
      <x:c r="C15" s="233" t="str">
        <x:f>IFERROR(IF(INDEX('BOM Data'!$H$2:$H$180,MATCH($B$3&amp;"-"&amp;8,'BOM Data'!$A$2:$A$180,0))="","",INDEX('BOM Data'!$H$2:$H$180,MATCH($B$3&amp;"-"&amp;8,'BOM Data'!$A$2:$A$180,0))),"")</x:f>
      </x:c>
      <x:c r="D15" s="234" t="n">
        <x:f>IFERROR(IF(INDEX('BOM Data'!$J$2:$J$180,MATCH($B$3&amp;"-"&amp;8,'BOM Data'!$A$2:$A$180,0))="","",INDEX('BOM Data'!$J$2:$J$180,MATCH($B$3&amp;"-"&amp;8,'BOM Data'!$A$2:$A$180,0))),"")</x:f>
        <x:v>1260040100475</x:v>
      </x:c>
      <x:c r="E15" s="138" t="str">
        <x:f>IFERROR(IF(INDEX('BOM Data'!$G$2:$G$180,MATCH($B$3&amp;"-"&amp;8,'BOM Data'!$A$2:$A$180,0))="","",INDEX('BOM Data'!$G$2:$G$180,MATCH($B$3&amp;"-"&amp;8,'BOM Data'!$A$2:$A$180,0))),"")</x:f>
        <x:v>If 7m extension needed by installation</x:v>
      </x:c>
      <x:c r="F15" s="138" t="str">
        <x:f>IFERROR(IF(INDEX('BOM Data'!$F$2:$F$180,MATCH($B$3&amp;"-"&amp;8,'BOM Data'!$A$2:$A$180,0))="","",INDEX('BOM Data'!$F$2:$F$180,MATCH($B$3&amp;"-"&amp;8,'BOM Data'!$A$2:$A$180,0))),"")</x:f>
        <x:v>User confirmed 2026-10-22</x:v>
      </x:c>
      <x:c r="G15" s="138" t="str">
        <x:f>IFERROR(IF(INDEX('BOM Data'!$K$2:$K$180,MATCH($B$3&amp;"-"&amp;8,'BOM Data'!$A$2:$A$180,0))="","",INDEX('BOM Data'!$K$2:$K$180,MATCH($B$3&amp;"-"&amp;8,'BOM Data'!$A$2:$A$180,0))),"")</x:f>
        <x:v>Confirmed compatible with current BA5 M12-4 setup</x:v>
      </x:c>
      <x:c r="H15" s="138" t="str">
        <x:f>IFERROR(IF(INDEX('BOM Data'!$O$2:$O$180,MATCH($B$3&amp;"-"&amp;8,'BOM Data'!$A$2:$A$180,0))="","",INDEX('BOM Data'!$O$2:$O$180,MATCH($B$3&amp;"-"&amp;8,'BOM Data'!$A$2:$A$180,0))),"")</x:f>
        <x:v>SKU/configuration per user reference; formal QA evidence tracked separately in 03</x:v>
      </x:c>
      <x:c r="I15" s="138" t="str">
        <x:f>IFERROR(IF(INDEX('BOM Data'!$R$2:$R$180,MATCH($B$3&amp;"-"&amp;8,'BOM Data'!$A$2:$A$180,0))="","",INDEX('BOM Data'!$R$2:$R$180,MATCH($B$3&amp;"-"&amp;8,'BOM Data'!$A$2:$A$180,0))),"")</x:f>
      </x:c>
    </x:row>
    <x:row r="16" ht="56" customHeight="1">
      <x:c r="A16" s="136" t="str">
        <x:f>IFERROR(IF(INDEX('BOM Data'!$C$2:$C$180,MATCH($B$3&amp;"-"&amp;9,'BOM Data'!$A$2:$A$180,0))="","",INDEX('BOM Data'!$C$2:$C$180,MATCH($B$3&amp;"-"&amp;9,'BOM Data'!$A$2:$A$180,0))),"")</x:f>
        <x:v>C06-09</x:v>
      </x:c>
      <x:c r="B16" s="136" t="str">
        <x:f>IFERROR(IF(INDEX('BOM Data'!$D$2:$D$180,MATCH($B$3&amp;"-"&amp;9,'BOM Data'!$A$2:$A$180,0))="","",INDEX('BOM Data'!$D$2:$D$180,MATCH($B$3&amp;"-"&amp;9,'BOM Data'!$A$2:$A$180,0))),"")</x:f>
        <x:v>DP7S with logo — nonwaterproof display</x:v>
      </x:c>
      <x:c r="C16" s="233" t="str">
        <x:f>IFERROR(IF(INDEX('BOM Data'!$H$2:$H$180,MATCH($B$3&amp;"-"&amp;9,'BOM Data'!$A$2:$A$180,0))="","",INDEX('BOM Data'!$H$2:$H$180,MATCH($B$3&amp;"-"&amp;9,'BOM Data'!$A$2:$A$180,0))),"")</x:f>
      </x:c>
      <x:c r="D16" s="234" t="n">
        <x:f>IFERROR(IF(INDEX('BOM Data'!$J$2:$J$180,MATCH($B$3&amp;"-"&amp;9,'BOM Data'!$A$2:$A$180,0))="","",INDEX('BOM Data'!$J$2:$J$180,MATCH($B$3&amp;"-"&amp;9,'BOM Data'!$A$2:$A$180,0))),"")</x:f>
        <x:v>5146026100001</x:v>
      </x:c>
      <x:c r="E16" s="136" t="str">
        <x:f>IFERROR(IF(INDEX('BOM Data'!$G$2:$G$180,MATCH($B$3&amp;"-"&amp;9,'BOM Data'!$A$2:$A$180,0))="","",INDEX('BOM Data'!$G$2:$G$180,MATCH($B$3&amp;"-"&amp;9,'BOM Data'!$A$2:$A$180,0))),"")</x:f>
        <x:v>Display alternative: DP7S only when waterproofing not required; no-logo variant also available</x:v>
      </x:c>
      <x:c r="F16" s="136" t="str">
        <x:f>IFERROR(IF(INDEX('BOM Data'!$F$2:$F$180,MATCH($B$3&amp;"-"&amp;9,'BOM Data'!$A$2:$A$180,0))="","",INDEX('BOM Data'!$F$2:$F$180,MATCH($B$3&amp;"-"&amp;9,'BOM Data'!$A$2:$A$180,0))),"")</x:f>
        <x:v>User confirmed 2026-10-22</x:v>
      </x:c>
      <x:c r="G16" s="136" t="str">
        <x:f>IFERROR(IF(INDEX('BOM Data'!$K$2:$K$180,MATCH($B$3&amp;"-"&amp;9,'BOM Data'!$A$2:$A$180,0))="","",INDEX('BOM Data'!$K$2:$K$180,MATCH($B$3&amp;"-"&amp;9,'BOM Data'!$A$2:$A$180,0))),"")</x:f>
        <x:v>Powered by MDVR; alternative DW7P when waterproofing required</x:v>
      </x:c>
      <x:c r="H16" s="136" t="str">
        <x:f>IFERROR(IF(INDEX('BOM Data'!$O$2:$O$180,MATCH($B$3&amp;"-"&amp;9,'BOM Data'!$A$2:$A$180,0))="","",INDEX('BOM Data'!$O$2:$O$180,MATCH($B$3&amp;"-"&amp;9,'BOM Data'!$A$2:$A$180,0))),"")</x:f>
        <x:v>SKU/configuration per user reference; formal QA evidence tracked separately in 03</x:v>
      </x:c>
      <x:c r="I16" s="136" t="str">
        <x:f>IFERROR(IF(INDEX('BOM Data'!$R$2:$R$180,MATCH($B$3&amp;"-"&amp;9,'BOM Data'!$A$2:$A$180,0))="","",INDEX('BOM Data'!$R$2:$R$180,MATCH($B$3&amp;"-"&amp;9,'BOM Data'!$A$2:$A$180,0))),"")</x:f>
      </x:c>
    </x:row>
    <x:row r="17" ht="56" customHeight="1">
      <x:c r="A17" s="138" t="str">
        <x:f>IFERROR(IF(INDEX('BOM Data'!$C$2:$C$180,MATCH($B$3&amp;"-"&amp;10,'BOM Data'!$A$2:$A$180,0))="","",INDEX('BOM Data'!$C$2:$C$180,MATCH($B$3&amp;"-"&amp;10,'BOM Data'!$A$2:$A$180,0))),"")</x:f>
        <x:v>C06-10</x:v>
      </x:c>
      <x:c r="B17" s="138" t="str">
        <x:f>IFERROR(IF(INDEX('BOM Data'!$D$2:$D$180,MATCH($B$3&amp;"-"&amp;10,'BOM Data'!$A$2:$A$180,0))="","",INDEX('BOM Data'!$D$2:$D$180,MATCH($B$3&amp;"-"&amp;10,'BOM Data'!$A$2:$A$180,0))),"")</x:f>
        <x:v>DP7S 3m display cable</x:v>
      </x:c>
      <x:c r="C17" s="233" t="str">
        <x:f>IFERROR(IF(INDEX('BOM Data'!$H$2:$H$180,MATCH($B$3&amp;"-"&amp;10,'BOM Data'!$A$2:$A$180,0))="","",INDEX('BOM Data'!$H$2:$H$180,MATCH($B$3&amp;"-"&amp;10,'BOM Data'!$A$2:$A$180,0))),"")</x:f>
      </x:c>
      <x:c r="D17" s="234" t="n">
        <x:f>IFERROR(IF(INDEX('BOM Data'!$J$2:$J$180,MATCH($B$3&amp;"-"&amp;10,'BOM Data'!$A$2:$A$180,0))="","",INDEX('BOM Data'!$J$2:$J$180,MATCH($B$3&amp;"-"&amp;10,'BOM Data'!$A$2:$A$180,0))),"")</x:f>
        <x:v>1210030000163</x:v>
      </x:c>
      <x:c r="E17" s="138" t="str">
        <x:f>IFERROR(IF(INDEX('BOM Data'!$G$2:$G$180,MATCH($B$3&amp;"-"&amp;10,'BOM Data'!$A$2:$A$180,0))="","",INDEX('BOM Data'!$G$2:$G$180,MATCH($B$3&amp;"-"&amp;10,'BOM Data'!$A$2:$A$180,0))),"")</x:f>
        <x:v>1 per DP7S if DP7S is selected</x:v>
      </x:c>
      <x:c r="F17" s="138" t="str">
        <x:f>IFERROR(IF(INDEX('BOM Data'!$F$2:$F$180,MATCH($B$3&amp;"-"&amp;10,'BOM Data'!$A$2:$A$180,0))="","",INDEX('BOM Data'!$F$2:$F$180,MATCH($B$3&amp;"-"&amp;10,'BOM Data'!$A$2:$A$180,0))),"")</x:f>
        <x:v>User confirmed 2026-10-22</x:v>
      </x:c>
      <x:c r="G17" s="138" t="str">
        <x:f>IFERROR(IF(INDEX('BOM Data'!$K$2:$K$180,MATCH($B$3&amp;"-"&amp;10,'BOM Data'!$A$2:$A$180,0))="","",INDEX('BOM Data'!$K$2:$K$180,MATCH($B$3&amp;"-"&amp;10,'BOM Data'!$A$2:$A$180,0))),"")</x:f>
        <x:v>Not included with either DP7S logo variant</x:v>
      </x:c>
      <x:c r="H17" s="138" t="str">
        <x:f>IFERROR(IF(INDEX('BOM Data'!$O$2:$O$180,MATCH($B$3&amp;"-"&amp;10,'BOM Data'!$A$2:$A$180,0))="","",INDEX('BOM Data'!$O$2:$O$180,MATCH($B$3&amp;"-"&amp;10,'BOM Data'!$A$2:$A$180,0))),"")</x:f>
        <x:v>SKU/configuration per user reference; formal QA evidence tracked separately in 03</x:v>
      </x:c>
      <x:c r="I17" s="138" t="str">
        <x:f>IFERROR(IF(INDEX('BOM Data'!$R$2:$R$180,MATCH($B$3&amp;"-"&amp;10,'BOM Data'!$A$2:$A$180,0))="","",INDEX('BOM Data'!$R$2:$R$180,MATCH($B$3&amp;"-"&amp;10,'BOM Data'!$A$2:$A$180,0))),"")</x:f>
      </x:c>
    </x:row>
    <x:row r="18" ht="56" customHeight="1">
      <x:c r="A18" s="136" t="str">
        <x:f>IFERROR(IF(INDEX('BOM Data'!$C$2:$C$180,MATCH($B$3&amp;"-"&amp;11,'BOM Data'!$A$2:$A$180,0))="","",INDEX('BOM Data'!$C$2:$C$180,MATCH($B$3&amp;"-"&amp;11,'BOM Data'!$A$2:$A$180,0))),"")</x:f>
        <x:v>C06-11</x:v>
      </x:c>
      <x:c r="B18" s="136" t="str">
        <x:f>IFERROR(IF(INDEX('BOM Data'!$D$2:$D$180,MATCH($B$3&amp;"-"&amp;11,'BOM Data'!$A$2:$A$180,0))="","",INDEX('BOM Data'!$D$2:$D$180,MATCH($B$3&amp;"-"&amp;11,'BOM Data'!$A$2:$A$180,0))),"")</x:f>
        <x:v>DW7P waterproof display</x:v>
      </x:c>
      <x:c r="C18" s="233" t="str">
        <x:f>IFERROR(IF(INDEX('BOM Data'!$H$2:$H$180,MATCH($B$3&amp;"-"&amp;11,'BOM Data'!$A$2:$A$180,0))="","",INDEX('BOM Data'!$H$2:$H$180,MATCH($B$3&amp;"-"&amp;11,'BOM Data'!$A$2:$A$180,0))),"")</x:f>
      </x:c>
      <x:c r="D18" s="234" t="n">
        <x:f>IFERROR(IF(INDEX('BOM Data'!$J$2:$J$180,MATCH($B$3&amp;"-"&amp;11,'BOM Data'!$A$2:$A$180,0))="","",INDEX('BOM Data'!$J$2:$J$180,MATCH($B$3&amp;"-"&amp;11,'BOM Data'!$A$2:$A$180,0))),"")</x:f>
        <x:v>5146054100001</x:v>
      </x:c>
      <x:c r="E18" s="136" t="str">
        <x:f>IFERROR(IF(INDEX('BOM Data'!$G$2:$G$180,MATCH($B$3&amp;"-"&amp;11,'BOM Data'!$A$2:$A$180,0))="","",INDEX('BOM Data'!$G$2:$G$180,MATCH($B$3&amp;"-"&amp;11,'BOM Data'!$A$2:$A$180,0))),"")</x:f>
        <x:v>Choose DW7P if waterproof display required</x:v>
      </x:c>
      <x:c r="F18" s="136" t="str">
        <x:f>IFERROR(IF(INDEX('BOM Data'!$F$2:$F$180,MATCH($B$3&amp;"-"&amp;11,'BOM Data'!$A$2:$A$180,0))="","",INDEX('BOM Data'!$F$2:$F$180,MATCH($B$3&amp;"-"&amp;11,'BOM Data'!$A$2:$A$180,0))),"")</x:f>
        <x:v>User confirmed 2026-10-22</x:v>
      </x:c>
      <x:c r="G18" s="136" t="str">
        <x:f>IFERROR(IF(INDEX('BOM Data'!$K$2:$K$180,MATCH($B$3&amp;"-"&amp;11,'BOM Data'!$A$2:$A$180,0))="","",INDEX('BOM Data'!$K$2:$K$180,MATCH($B$3&amp;"-"&amp;11,'BOM Data'!$A$2:$A$180,0))),"")</x:f>
        <x:v>MDVR or vehicle power; mounting bracket and base cable included; 3m extension separately as needed</x:v>
      </x:c>
      <x:c r="H18" s="136" t="str">
        <x:f>IFERROR(IF(INDEX('BOM Data'!$O$2:$O$180,MATCH($B$3&amp;"-"&amp;11,'BOM Data'!$A$2:$A$180,0))="","",INDEX('BOM Data'!$O$2:$O$180,MATCH($B$3&amp;"-"&amp;11,'BOM Data'!$A$2:$A$180,0))),"")</x:f>
        <x:v>SKU/configuration per user reference; formal QA evidence tracked separately in 03</x:v>
      </x:c>
      <x:c r="I18" s="136" t="str">
        <x:f>IFERROR(IF(INDEX('BOM Data'!$R$2:$R$180,MATCH($B$3&amp;"-"&amp;11,'BOM Data'!$A$2:$A$180,0))="","",INDEX('BOM Data'!$R$2:$R$180,MATCH($B$3&amp;"-"&amp;11,'BOM Data'!$A$2:$A$180,0))),"")</x:f>
      </x:c>
    </x:row>
    <x:row r="19" ht="56" customHeight="1">
      <x:c r="A19" s="138" t="str">
        <x:f>IFERROR(IF(INDEX('BOM Data'!$C$2:$C$180,MATCH($B$3&amp;"-"&amp;12,'BOM Data'!$A$2:$A$180,0))="","",INDEX('BOM Data'!$C$2:$C$180,MATCH($B$3&amp;"-"&amp;12,'BOM Data'!$A$2:$A$180,0))),"")</x:f>
        <x:v>C06-12</x:v>
      </x:c>
      <x:c r="B19" s="138" t="str">
        <x:f>IFERROR(IF(INDEX('BOM Data'!$D$2:$D$180,MATCH($B$3&amp;"-"&amp;12,'BOM Data'!$A$2:$A$180,0))="","",INDEX('BOM Data'!$D$2:$D$180,MATCH($B$3&amp;"-"&amp;12,'BOM Data'!$A$2:$A$180,0))),"")</x:f>
        <x:v>M3N custom 20-pin signal cable</x:v>
      </x:c>
      <x:c r="C19" s="233" t="str">
        <x:f>IFERROR(IF(INDEX('BOM Data'!$H$2:$H$180,MATCH($B$3&amp;"-"&amp;12,'BOM Data'!$A$2:$A$180,0))="","",INDEX('BOM Data'!$H$2:$H$180,MATCH($B$3&amp;"-"&amp;12,'BOM Data'!$A$2:$A$180,0))),"")</x:f>
      </x:c>
      <x:c r="D19" s="234" t="n">
        <x:f>IFERROR(IF(INDEX('BOM Data'!$J$2:$J$180,MATCH($B$3&amp;"-"&amp;12,'BOM Data'!$A$2:$A$180,0))="","",INDEX('BOM Data'!$J$2:$J$180,MATCH($B$3&amp;"-"&amp;12,'BOM Data'!$A$2:$A$180,0))),"")</x:f>
        <x:v>1261050100539</x:v>
      </x:c>
      <x:c r="E19" s="138" t="str">
        <x:f>IFERROR(IF(INDEX('BOM Data'!$G$2:$G$180,MATCH($B$3&amp;"-"&amp;12,'BOM Data'!$A$2:$A$180,0))="","",INDEX('BOM Data'!$G$2:$G$180,MATCH($B$3&amp;"-"&amp;12,'BOM Data'!$A$2:$A$180,0))),"")</x:f>
        <x:v>1 INCLUDED per host kit; additional purchase = 0</x:v>
      </x:c>
      <x:c r="F19" s="138" t="str">
        <x:f>IFERROR(IF(INDEX('BOM Data'!$F$2:$F$180,MATCH($B$3&amp;"-"&amp;12,'BOM Data'!$A$2:$A$180,0))="","",INDEX('BOM Data'!$F$2:$F$180,MATCH($B$3&amp;"-"&amp;12,'BOM Data'!$A$2:$A$180,0))),"")</x:f>
        <x:v>User confirmed 2026-10-22</x:v>
      </x:c>
      <x:c r="G19" s="138" t="str">
        <x:f>IFERROR(IF(INDEX('BOM Data'!$K$2:$K$180,MATCH($B$3&amp;"-"&amp;12,'BOM Data'!$A$2:$A$180,0))="","",INDEX('BOM Data'!$K$2:$K$180,MATCH($B$3&amp;"-"&amp;12,'BOM Data'!$A$2:$A$180,0))),"")</x:f>
        <x:v>Do not double-order. Both H0404 and H0204 have this included</x:v>
      </x:c>
      <x:c r="H19" s="138" t="str">
        <x:f>IFERROR(IF(INDEX('BOM Data'!$O$2:$O$180,MATCH($B$3&amp;"-"&amp;12,'BOM Data'!$A$2:$A$180,0))="","",INDEX('BOM Data'!$O$2:$O$180,MATCH($B$3&amp;"-"&amp;12,'BOM Data'!$A$2:$A$180,0))),"")</x:f>
        <x:v>SKU/configuration per user reference; formal QA evidence tracked separately in 03</x:v>
      </x:c>
      <x:c r="I19" s="138" t="str">
        <x:f>IFERROR(IF(INDEX('BOM Data'!$R$2:$R$180,MATCH($B$3&amp;"-"&amp;12,'BOM Data'!$A$2:$A$180,0))="","",INDEX('BOM Data'!$R$2:$R$180,MATCH($B$3&amp;"-"&amp;12,'BOM Data'!$A$2:$A$180,0))),"")</x:f>
      </x:c>
    </x:row>
    <x:row r="20" ht="56" customHeight="1">
      <x:c r="A20" s="136" t="str">
        <x:f>IFERROR(IF(INDEX('BOM Data'!$C$2:$C$180,MATCH($B$3&amp;"-"&amp;13,'BOM Data'!$A$2:$A$180,0))="","",INDEX('BOM Data'!$C$2:$C$180,MATCH($B$3&amp;"-"&amp;13,'BOM Data'!$A$2:$A$180,0))),"")</x:f>
        <x:v>C06-13</x:v>
      </x:c>
      <x:c r="B20" s="136" t="str">
        <x:f>IFERROR(IF(INDEX('BOM Data'!$D$2:$D$180,MATCH($B$3&amp;"-"&amp;13,'BOM Data'!$A$2:$A$180,0))="","",INDEX('BOM Data'!$D$2:$D$180,MATCH($B$3&amp;"-"&amp;13,'BOM Data'!$A$2:$A$180,0))),"")</x:f>
        <x:v>M3N host antennas/power leads</x:v>
      </x:c>
      <x:c r="C20" s="233" t="str">
        <x:f>IFERROR(IF(INDEX('BOM Data'!$H$2:$H$180,MATCH($B$3&amp;"-"&amp;13,'BOM Data'!$A$2:$A$180,0))="","",INDEX('BOM Data'!$H$2:$H$180,MATCH($B$3&amp;"-"&amp;13,'BOM Data'!$A$2:$A$180,0))),"")</x:f>
      </x:c>
      <x:c r="D20" s="234" t="str">
        <x:f>IFERROR(IF(INDEX('BOM Data'!$J$2:$J$180,MATCH($B$3&amp;"-"&amp;13,'BOM Data'!$A$2:$A$180,0))="","",INDEX('BOM Data'!$J$2:$J$180,MATCH($B$3&amp;"-"&amp;13,'BOM Data'!$A$2:$A$180,0))),"")</x:f>
      </x:c>
      <x:c r="E20" s="136" t="str">
        <x:f>IFERROR(IF(INDEX('BOM Data'!$G$2:$G$180,MATCH($B$3&amp;"-"&amp;13,'BOM Data'!$A$2:$A$180,0))="","",INDEX('BOM Data'!$G$2:$G$180,MATCH($B$3&amp;"-"&amp;13,'BOM Data'!$A$2:$A$180,0))),"")</x:f>
        <x:v>Included in host kit; verify kit contents before customer release</x:v>
      </x:c>
      <x:c r="F20" s="136" t="str">
        <x:f>IFERROR(IF(INDEX('BOM Data'!$F$2:$F$180,MATCH($B$3&amp;"-"&amp;13,'BOM Data'!$A$2:$A$180,0))="","",INDEX('BOM Data'!$F$2:$F$180,MATCH($B$3&amp;"-"&amp;13,'BOM Data'!$A$2:$A$180,0))),"")</x:f>
        <x:v>User confirmed 2026-10-22</x:v>
      </x:c>
      <x:c r="G20" s="136" t="str">
        <x:f>IFERROR(IF(INDEX('BOM Data'!$K$2:$K$180,MATCH($B$3&amp;"-"&amp;13,'BOM Data'!$A$2:$A$180,0))="","",INDEX('BOM Data'!$K$2:$K$180,MATCH($B$3&amp;"-"&amp;13,'BOM Data'!$A$2:$A$180,0))),"")</x:f>
        <x:v>Do not double-order power and regional antennas</x:v>
      </x:c>
      <x:c r="H20" s="136" t="str">
        <x:f>IFERROR(IF(INDEX('BOM Data'!$O$2:$O$180,MATCH($B$3&amp;"-"&amp;13,'BOM Data'!$A$2:$A$180,0))="","",INDEX('BOM Data'!$O$2:$O$180,MATCH($B$3&amp;"-"&amp;13,'BOM Data'!$A$2:$A$180,0))),"")</x:f>
        <x:v>SKU/configuration per user reference; formal QA evidence tracked separately in 03</x:v>
      </x:c>
      <x:c r="I20" s="136" t="str">
        <x:f>IFERROR(IF(INDEX('BOM Data'!$R$2:$R$180,MATCH($B$3&amp;"-"&amp;13,'BOM Data'!$A$2:$A$180,0))="","",INDEX('BOM Data'!$R$2:$R$180,MATCH($B$3&amp;"-"&amp;13,'BOM Data'!$A$2:$A$180,0))),"")</x:f>
      </x:c>
    </x:row>
    <x:row r="21" ht="56" customHeight="1">
      <x:c r="A21" s="138" t="str">
        <x:f>IFERROR(IF(INDEX('BOM Data'!$C$2:$C$180,MATCH($B$3&amp;"-"&amp;14,'BOM Data'!$A$2:$A$180,0))="","",INDEX('BOM Data'!$C$2:$C$180,MATCH($B$3&amp;"-"&amp;14,'BOM Data'!$A$2:$A$180,0))),"")</x:f>
        <x:v>C06-14</x:v>
      </x:c>
      <x:c r="B21" s="138" t="str">
        <x:f>IFERROR(IF(INDEX('BOM Data'!$D$2:$D$180,MATCH($B$3&amp;"-"&amp;14,'BOM Data'!$A$2:$A$180,0))="","",INDEX('BOM Data'!$D$2:$D$180,MATCH($B$3&amp;"-"&amp;14,'BOM Data'!$A$2:$A$180,0))),"")</x:f>
        <x:v>Easycheck maintenance dongle</x:v>
      </x:c>
      <x:c r="C21" s="233" t="str">
        <x:f>IFERROR(IF(INDEX('BOM Data'!$H$2:$H$180,MATCH($B$3&amp;"-"&amp;14,'BOM Data'!$A$2:$A$180,0))="","",INDEX('BOM Data'!$H$2:$H$180,MATCH($B$3&amp;"-"&amp;14,'BOM Data'!$A$2:$A$180,0))),"")</x:f>
      </x:c>
      <x:c r="D21" s="234" t="n">
        <x:f>IFERROR(IF(INDEX('BOM Data'!$J$2:$J$180,MATCH($B$3&amp;"-"&amp;14,'BOM Data'!$A$2:$A$180,0))="","",INDEX('BOM Data'!$J$2:$J$180,MATCH($B$3&amp;"-"&amp;14,'BOM Data'!$A$2:$A$180,0))),"")</x:f>
        <x:v>5190001000009</x:v>
      </x:c>
      <x:c r="E21" s="138" t="str">
        <x:f>IFERROR(IF(INDEX('BOM Data'!$G$2:$G$180,MATCH($B$3&amp;"-"&amp;14,'BOM Data'!$A$2:$A$180,0))="","",INDEX('BOM Data'!$G$2:$G$180,MATCH($B$3&amp;"-"&amp;14,'BOM Data'!$A$2:$A$180,0))),"")</x:f>
        <x:v>1 per solution / commissioning team, NOT 1 per vehicle</x:v>
      </x:c>
      <x:c r="F21" s="138" t="str">
        <x:f>IFERROR(IF(INDEX('BOM Data'!$F$2:$F$180,MATCH($B$3&amp;"-"&amp;14,'BOM Data'!$A$2:$A$180,0))="","",INDEX('BOM Data'!$F$2:$F$180,MATCH($B$3&amp;"-"&amp;14,'BOM Data'!$A$2:$A$180,0))),"")</x:f>
        <x:v>User confirmed 2026-10-22</x:v>
      </x:c>
      <x:c r="G21" s="138" t="str">
        <x:f>IFERROR(IF(INDEX('BOM Data'!$K$2:$K$180,MATCH($B$3&amp;"-"&amp;14,'BOM Data'!$A$2:$A$180,0))="","",INDEX('BOM Data'!$K$2:$K$180,MATCH($B$3&amp;"-"&amp;14,'BOM Data'!$A$2:$A$180,0))),"")</x:f>
        <x:v>Common Easycheck + Veyes workflow across 2/4/5 camera systems; no extra calibration tool</x:v>
      </x:c>
      <x:c r="H21" s="138" t="str">
        <x:f>IFERROR(IF(INDEX('BOM Data'!$O$2:$O$180,MATCH($B$3&amp;"-"&amp;14,'BOM Data'!$A$2:$A$180,0))="","",INDEX('BOM Data'!$O$2:$O$180,MATCH($B$3&amp;"-"&amp;14,'BOM Data'!$A$2:$A$180,0))),"")</x:f>
        <x:v>SKU/configuration per user reference; formal QA evidence tracked separately in 03</x:v>
      </x:c>
      <x:c r="I21" s="138" t="str">
        <x:f>IFERROR(IF(INDEX('BOM Data'!$R$2:$R$180,MATCH($B$3&amp;"-"&amp;14,'BOM Data'!$A$2:$A$180,0))="","",INDEX('BOM Data'!$R$2:$R$180,MATCH($B$3&amp;"-"&amp;14,'BOM Data'!$A$2:$A$180,0))),"")</x:f>
      </x:c>
    </x:row>
    <x:row r="22" ht="56" customHeight="1">
      <x:c r="A22" s="136" t="str">
        <x:f>IFERROR(IF(INDEX('BOM Data'!$C$2:$C$180,MATCH($B$3&amp;"-"&amp;15,'BOM Data'!$A$2:$A$180,0))="","",INDEX('BOM Data'!$C$2:$C$180,MATCH($B$3&amp;"-"&amp;15,'BOM Data'!$A$2:$A$180,0))),"")</x:f>
        <x:v>C06-15</x:v>
      </x:c>
      <x:c r="B22" s="136" t="str">
        <x:f>IFERROR(IF(INDEX('BOM Data'!$D$2:$D$180,MATCH($B$3&amp;"-"&amp;15,'BOM Data'!$A$2:$A$180,0))="","",INDEX('BOM Data'!$D$2:$D$180,MATCH($B$3&amp;"-"&amp;15,'BOM Data'!$A$2:$A$180,0))),"")</x:f>
        <x:v>DP7S without logo — alternative</x:v>
      </x:c>
      <x:c r="C22" s="233" t="str">
        <x:f>IFERROR(IF(INDEX('BOM Data'!$H$2:$H$180,MATCH($B$3&amp;"-"&amp;15,'BOM Data'!$A$2:$A$180,0))="","",INDEX('BOM Data'!$H$2:$H$180,MATCH($B$3&amp;"-"&amp;15,'BOM Data'!$A$2:$A$180,0))),"")</x:f>
      </x:c>
      <x:c r="D22" s="234" t="n">
        <x:f>IFERROR(IF(INDEX('BOM Data'!$J$2:$J$180,MATCH($B$3&amp;"-"&amp;15,'BOM Data'!$A$2:$A$180,0))="","",INDEX('BOM Data'!$J$2:$J$180,MATCH($B$3&amp;"-"&amp;15,'BOM Data'!$A$2:$A$180,0))),"")</x:f>
        <x:v>5190012100084</x:v>
      </x:c>
      <x:c r="E22" s="136" t="str">
        <x:f>IFERROR(IF(INDEX('BOM Data'!$G$2:$G$180,MATCH($B$3&amp;"-"&amp;15,'BOM Data'!$A$2:$A$180,0))="","",INDEX('BOM Data'!$G$2:$G$180,MATCH($B$3&amp;"-"&amp;15,'BOM Data'!$A$2:$A$180,0))),"")</x:f>
        <x:v>Alternative ONLY: if waterproofing not required and no-logo selected</x:v>
      </x:c>
      <x:c r="F22" s="136" t="str">
        <x:f>IFERROR(IF(INDEX('BOM Data'!$F$2:$F$180,MATCH($B$3&amp;"-"&amp;15,'BOM Data'!$A$2:$A$180,0))="","",INDEX('BOM Data'!$F$2:$F$180,MATCH($B$3&amp;"-"&amp;15,'BOM Data'!$A$2:$A$180,0))),"")</x:f>
        <x:v>User canonical SKU</x:v>
      </x:c>
      <x:c r="G22" s="136" t="str">
        <x:f>IFERROR(IF(INDEX('BOM Data'!$K$2:$K$180,MATCH($B$3&amp;"-"&amp;15,'BOM Data'!$A$2:$A$180,0))="","",INDEX('BOM Data'!$K$2:$K$180,MATCH($B$3&amp;"-"&amp;15,'BOM Data'!$A$2:$A$180,0))),"")</x:f>
        <x:v>MDVR or independent vehicle power; cable 1210030000163 separate</x:v>
      </x:c>
      <x:c r="H22" s="136" t="str">
        <x:f>IFERROR(IF(INDEX('BOM Data'!$O$2:$O$180,MATCH($B$3&amp;"-"&amp;15,'BOM Data'!$A$2:$A$180,0))="","",INDEX('BOM Data'!$O$2:$O$180,MATCH($B$3&amp;"-"&amp;15,'BOM Data'!$A$2:$A$180,0))),"")</x:f>
        <x:v>Configuration specified; QA separately in 03</x:v>
      </x:c>
      <x:c r="I22" s="136" t="str">
        <x:f>IFERROR(IF(INDEX('BOM Data'!$R$2:$R$180,MATCH($B$3&amp;"-"&amp;15,'BOM Data'!$A$2:$A$180,0))="","",INDEX('BOM Data'!$R$2:$R$180,MATCH($B$3&amp;"-"&amp;15,'BOM Data'!$A$2:$A$180,0))),"")</x:f>
      </x:c>
    </x:row>
    <x:row r="23" ht="63" customHeight="1">
      <x:c r="A23" s="10" t="str">
        <x:f>IFERROR(IF(INDEX('BOM Data'!$C$2:$C$180,MATCH($B$3&amp;"-"&amp;16,'BOM Data'!$A$2:$A$180,0))="","",INDEX('BOM Data'!$C$2:$C$180,MATCH($B$3&amp;"-"&amp;16,'BOM Data'!$A$2:$A$180,0))),"")</x:f>
      </x:c>
      <x:c r="B23" s="10" t="str">
        <x:f>IFERROR(IF(INDEX('BOM Data'!$D$2:$D$180,MATCH($B$3&amp;"-"&amp;16,'BOM Data'!$A$2:$A$180,0))="","",INDEX('BOM Data'!$D$2:$D$180,MATCH($B$3&amp;"-"&amp;16,'BOM Data'!$A$2:$A$180,0))),"")</x:f>
      </x:c>
      <x:c r="C23" s="10" t="str">
        <x:f>IFERROR(IF(INDEX('BOM Data'!$H$2:$H$180,MATCH($B$3&amp;"-"&amp;16,'BOM Data'!$A$2:$A$180,0))="","",INDEX('BOM Data'!$H$2:$H$180,MATCH($B$3&amp;"-"&amp;16,'BOM Data'!$A$2:$A$180,0))),"")</x:f>
      </x:c>
      <x:c r="D23" s="37" t="str">
        <x:f>IFERROR(IF(INDEX('BOM Data'!$J$2:$J$180,MATCH($B$3&amp;"-"&amp;16,'BOM Data'!$A$2:$A$180,0))="","",INDEX('BOM Data'!$J$2:$J$180,MATCH($B$3&amp;"-"&amp;16,'BOM Data'!$A$2:$A$180,0))),"")</x:f>
      </x:c>
      <x:c r="E23" s="10" t="str">
        <x:f>IFERROR(IF(INDEX('BOM Data'!$G$2:$G$180,MATCH($B$3&amp;"-"&amp;16,'BOM Data'!$A$2:$A$180,0))="","",INDEX('BOM Data'!$G$2:$G$180,MATCH($B$3&amp;"-"&amp;16,'BOM Data'!$A$2:$A$180,0))),"")</x:f>
      </x:c>
      <x:c r="F23" s="10" t="str">
        <x:f>IFERROR(IF(INDEX('BOM Data'!$F$2:$F$180,MATCH($B$3&amp;"-"&amp;16,'BOM Data'!$A$2:$A$180,0))="","",INDEX('BOM Data'!$F$2:$F$180,MATCH($B$3&amp;"-"&amp;16,'BOM Data'!$A$2:$A$180,0))),"")</x:f>
      </x:c>
      <x:c r="G23" s="10" t="str">
        <x:f>IFERROR(IF(INDEX('BOM Data'!$K$2:$K$180,MATCH($B$3&amp;"-"&amp;16,'BOM Data'!$A$2:$A$180,0))="","",INDEX('BOM Data'!$K$2:$K$180,MATCH($B$3&amp;"-"&amp;16,'BOM Data'!$A$2:$A$180,0))),"")</x:f>
      </x:c>
      <x:c r="H23" s="10" t="str">
        <x:f>IFERROR(IF(INDEX('BOM Data'!$O$2:$O$180,MATCH($B$3&amp;"-"&amp;16,'BOM Data'!$A$2:$A$180,0))="","",INDEX('BOM Data'!$O$2:$O$180,MATCH($B$3&amp;"-"&amp;16,'BOM Data'!$A$2:$A$180,0))),"")</x:f>
      </x:c>
      <x:c r="I23" s="10" t="str">
        <x:f>IFERROR(IF(INDEX('BOM Data'!$R$2:$R$180,MATCH($B$3&amp;"-"&amp;16,'BOM Data'!$A$2:$A$180,0))="","",INDEX('BOM Data'!$R$2:$R$180,MATCH($B$3&amp;"-"&amp;16,'BOM Data'!$A$2:$A$180,0))),"")</x:f>
      </x:c>
    </x:row>
    <x:row r="24" ht="63" customHeight="1">
      <x:c r="A24" s="12" t="str">
        <x:f>IFERROR(IF(INDEX('BOM Data'!$C$2:$C$180,MATCH($B$3&amp;"-"&amp;17,'BOM Data'!$A$2:$A$180,0))="","",INDEX('BOM Data'!$C$2:$C$180,MATCH($B$3&amp;"-"&amp;17,'BOM Data'!$A$2:$A$180,0))),"")</x:f>
      </x:c>
      <x:c r="B24" s="12" t="str">
        <x:f>IFERROR(IF(INDEX('BOM Data'!$D$2:$D$180,MATCH($B$3&amp;"-"&amp;17,'BOM Data'!$A$2:$A$180,0))="","",INDEX('BOM Data'!$D$2:$D$180,MATCH($B$3&amp;"-"&amp;17,'BOM Data'!$A$2:$A$180,0))),"")</x:f>
      </x:c>
      <x:c r="C24" s="12" t="str">
        <x:f>IFERROR(IF(INDEX('BOM Data'!$H$2:$H$180,MATCH($B$3&amp;"-"&amp;17,'BOM Data'!$A$2:$A$180,0))="","",INDEX('BOM Data'!$H$2:$H$180,MATCH($B$3&amp;"-"&amp;17,'BOM Data'!$A$2:$A$180,0))),"")</x:f>
      </x:c>
      <x:c r="D24" s="36" t="str">
        <x:f>IFERROR(IF(INDEX('BOM Data'!$J$2:$J$180,MATCH($B$3&amp;"-"&amp;17,'BOM Data'!$A$2:$A$180,0))="","",INDEX('BOM Data'!$J$2:$J$180,MATCH($B$3&amp;"-"&amp;17,'BOM Data'!$A$2:$A$180,0))),"")</x:f>
      </x:c>
      <x:c r="E24" s="12" t="str">
        <x:f>IFERROR(IF(INDEX('BOM Data'!$G$2:$G$180,MATCH($B$3&amp;"-"&amp;17,'BOM Data'!$A$2:$A$180,0))="","",INDEX('BOM Data'!$G$2:$G$180,MATCH($B$3&amp;"-"&amp;17,'BOM Data'!$A$2:$A$180,0))),"")</x:f>
      </x:c>
      <x:c r="F24" s="12" t="str">
        <x:f>IFERROR(IF(INDEX('BOM Data'!$F$2:$F$180,MATCH($B$3&amp;"-"&amp;17,'BOM Data'!$A$2:$A$180,0))="","",INDEX('BOM Data'!$F$2:$F$180,MATCH($B$3&amp;"-"&amp;17,'BOM Data'!$A$2:$A$180,0))),"")</x:f>
      </x:c>
      <x:c r="G24" s="12" t="str">
        <x:f>IFERROR(IF(INDEX('BOM Data'!$K$2:$K$180,MATCH($B$3&amp;"-"&amp;17,'BOM Data'!$A$2:$A$180,0))="","",INDEX('BOM Data'!$K$2:$K$180,MATCH($B$3&amp;"-"&amp;17,'BOM Data'!$A$2:$A$180,0))),"")</x:f>
      </x:c>
      <x:c r="H24" s="12" t="str">
        <x:f>IFERROR(IF(INDEX('BOM Data'!$O$2:$O$180,MATCH($B$3&amp;"-"&amp;17,'BOM Data'!$A$2:$A$180,0))="","",INDEX('BOM Data'!$O$2:$O$180,MATCH($B$3&amp;"-"&amp;17,'BOM Data'!$A$2:$A$180,0))),"")</x:f>
      </x:c>
      <x:c r="I24" s="12" t="str">
        <x:f>IFERROR(IF(INDEX('BOM Data'!$R$2:$R$180,MATCH($B$3&amp;"-"&amp;17,'BOM Data'!$A$2:$A$180,0))="","",INDEX('BOM Data'!$R$2:$R$180,MATCH($B$3&amp;"-"&amp;17,'BOM Data'!$A$2:$A$180,0))),"")</x:f>
      </x:c>
    </x:row>
    <x:row r="25" ht="63" customHeight="1">
      <x:c r="A25" s="10" t="str">
        <x:f>IFERROR(IF(INDEX('BOM Data'!$C$2:$C$180,MATCH($B$3&amp;"-"&amp;18,'BOM Data'!$A$2:$A$180,0))="","",INDEX('BOM Data'!$C$2:$C$180,MATCH($B$3&amp;"-"&amp;18,'BOM Data'!$A$2:$A$180,0))),"")</x:f>
      </x:c>
      <x:c r="B25" s="10" t="str">
        <x:f>IFERROR(IF(INDEX('BOM Data'!$D$2:$D$180,MATCH($B$3&amp;"-"&amp;18,'BOM Data'!$A$2:$A$180,0))="","",INDEX('BOM Data'!$D$2:$D$180,MATCH($B$3&amp;"-"&amp;18,'BOM Data'!$A$2:$A$180,0))),"")</x:f>
      </x:c>
      <x:c r="C25" s="10" t="str">
        <x:f>IFERROR(IF(INDEX('BOM Data'!$H$2:$H$180,MATCH($B$3&amp;"-"&amp;18,'BOM Data'!$A$2:$A$180,0))="","",INDEX('BOM Data'!$H$2:$H$180,MATCH($B$3&amp;"-"&amp;18,'BOM Data'!$A$2:$A$180,0))),"")</x:f>
      </x:c>
      <x:c r="D25" s="37" t="str">
        <x:f>IFERROR(IF(INDEX('BOM Data'!$J$2:$J$180,MATCH($B$3&amp;"-"&amp;18,'BOM Data'!$A$2:$A$180,0))="","",INDEX('BOM Data'!$J$2:$J$180,MATCH($B$3&amp;"-"&amp;18,'BOM Data'!$A$2:$A$180,0))),"")</x:f>
      </x:c>
      <x:c r="E25" s="10" t="str">
        <x:f>IFERROR(IF(INDEX('BOM Data'!$G$2:$G$180,MATCH($B$3&amp;"-"&amp;18,'BOM Data'!$A$2:$A$180,0))="","",INDEX('BOM Data'!$G$2:$G$180,MATCH($B$3&amp;"-"&amp;18,'BOM Data'!$A$2:$A$180,0))),"")</x:f>
      </x:c>
      <x:c r="F25" s="10" t="str">
        <x:f>IFERROR(IF(INDEX('BOM Data'!$F$2:$F$180,MATCH($B$3&amp;"-"&amp;18,'BOM Data'!$A$2:$A$180,0))="","",INDEX('BOM Data'!$F$2:$F$180,MATCH($B$3&amp;"-"&amp;18,'BOM Data'!$A$2:$A$180,0))),"")</x:f>
      </x:c>
      <x:c r="G25" s="10" t="str">
        <x:f>IFERROR(IF(INDEX('BOM Data'!$K$2:$K$180,MATCH($B$3&amp;"-"&amp;18,'BOM Data'!$A$2:$A$180,0))="","",INDEX('BOM Data'!$K$2:$K$180,MATCH($B$3&amp;"-"&amp;18,'BOM Data'!$A$2:$A$180,0))),"")</x:f>
      </x:c>
      <x:c r="H25" s="10" t="str">
        <x:f>IFERROR(IF(INDEX('BOM Data'!$O$2:$O$180,MATCH($B$3&amp;"-"&amp;18,'BOM Data'!$A$2:$A$180,0))="","",INDEX('BOM Data'!$O$2:$O$180,MATCH($B$3&amp;"-"&amp;18,'BOM Data'!$A$2:$A$180,0))),"")</x:f>
      </x:c>
      <x:c r="I25" s="10" t="str">
        <x:f>IFERROR(IF(INDEX('BOM Data'!$R$2:$R$180,MATCH($B$3&amp;"-"&amp;18,'BOM Data'!$A$2:$A$180,0))="","",INDEX('BOM Data'!$R$2:$R$180,MATCH($B$3&amp;"-"&amp;18,'BOM Data'!$A$2:$A$180,0))),"")</x:f>
      </x:c>
    </x:row>
    <x:row r="26" ht="63" customHeight="1">
      <x:c r="A26" s="12" t="str">
        <x:f>IFERROR(IF(INDEX('BOM Data'!$C$2:$C$180,MATCH($B$3&amp;"-"&amp;19,'BOM Data'!$A$2:$A$180,0))="","",INDEX('BOM Data'!$C$2:$C$180,MATCH($B$3&amp;"-"&amp;19,'BOM Data'!$A$2:$A$180,0))),"")</x:f>
      </x:c>
      <x:c r="B26" s="12" t="str">
        <x:f>IFERROR(IF(INDEX('BOM Data'!$D$2:$D$180,MATCH($B$3&amp;"-"&amp;19,'BOM Data'!$A$2:$A$180,0))="","",INDEX('BOM Data'!$D$2:$D$180,MATCH($B$3&amp;"-"&amp;19,'BOM Data'!$A$2:$A$180,0))),"")</x:f>
      </x:c>
      <x:c r="C26" s="12" t="str">
        <x:f>IFERROR(IF(INDEX('BOM Data'!$H$2:$H$180,MATCH($B$3&amp;"-"&amp;19,'BOM Data'!$A$2:$A$180,0))="","",INDEX('BOM Data'!$H$2:$H$180,MATCH($B$3&amp;"-"&amp;19,'BOM Data'!$A$2:$A$180,0))),"")</x:f>
      </x:c>
      <x:c r="D26" s="36" t="str">
        <x:f>IFERROR(IF(INDEX('BOM Data'!$J$2:$J$180,MATCH($B$3&amp;"-"&amp;19,'BOM Data'!$A$2:$A$180,0))="","",INDEX('BOM Data'!$J$2:$J$180,MATCH($B$3&amp;"-"&amp;19,'BOM Data'!$A$2:$A$180,0))),"")</x:f>
      </x:c>
      <x:c r="E26" s="12" t="str">
        <x:f>IFERROR(IF(INDEX('BOM Data'!$G$2:$G$180,MATCH($B$3&amp;"-"&amp;19,'BOM Data'!$A$2:$A$180,0))="","",INDEX('BOM Data'!$G$2:$G$180,MATCH($B$3&amp;"-"&amp;19,'BOM Data'!$A$2:$A$180,0))),"")</x:f>
      </x:c>
      <x:c r="F26" s="12" t="str">
        <x:f>IFERROR(IF(INDEX('BOM Data'!$F$2:$F$180,MATCH($B$3&amp;"-"&amp;19,'BOM Data'!$A$2:$A$180,0))="","",INDEX('BOM Data'!$F$2:$F$180,MATCH($B$3&amp;"-"&amp;19,'BOM Data'!$A$2:$A$180,0))),"")</x:f>
      </x:c>
      <x:c r="G26" s="12" t="str">
        <x:f>IFERROR(IF(INDEX('BOM Data'!$K$2:$K$180,MATCH($B$3&amp;"-"&amp;19,'BOM Data'!$A$2:$A$180,0))="","",INDEX('BOM Data'!$K$2:$K$180,MATCH($B$3&amp;"-"&amp;19,'BOM Data'!$A$2:$A$180,0))),"")</x:f>
      </x:c>
      <x:c r="H26" s="12" t="str">
        <x:f>IFERROR(IF(INDEX('BOM Data'!$O$2:$O$180,MATCH($B$3&amp;"-"&amp;19,'BOM Data'!$A$2:$A$180,0))="","",INDEX('BOM Data'!$O$2:$O$180,MATCH($B$3&amp;"-"&amp;19,'BOM Data'!$A$2:$A$180,0))),"")</x:f>
      </x:c>
      <x:c r="I26" s="12" t="str">
        <x:f>IFERROR(IF(INDEX('BOM Data'!$R$2:$R$180,MATCH($B$3&amp;"-"&amp;19,'BOM Data'!$A$2:$A$180,0))="","",INDEX('BOM Data'!$R$2:$R$180,MATCH($B$3&amp;"-"&amp;19,'BOM Data'!$A$2:$A$180,0))),"")</x:f>
      </x:c>
    </x:row>
    <x:row r="27" ht="63" customHeight="1">
      <x:c r="A27" s="10" t="str">
        <x:f>IFERROR(IF(INDEX('BOM Data'!$C$2:$C$180,MATCH($B$3&amp;"-"&amp;20,'BOM Data'!$A$2:$A$180,0))="","",INDEX('BOM Data'!$C$2:$C$180,MATCH($B$3&amp;"-"&amp;20,'BOM Data'!$A$2:$A$180,0))),"")</x:f>
      </x:c>
      <x:c r="B27" s="10" t="str">
        <x:f>IFERROR(IF(INDEX('BOM Data'!$D$2:$D$180,MATCH($B$3&amp;"-"&amp;20,'BOM Data'!$A$2:$A$180,0))="","",INDEX('BOM Data'!$D$2:$D$180,MATCH($B$3&amp;"-"&amp;20,'BOM Data'!$A$2:$A$180,0))),"")</x:f>
      </x:c>
      <x:c r="C27" s="10" t="str">
        <x:f>IFERROR(IF(INDEX('BOM Data'!$H$2:$H$180,MATCH($B$3&amp;"-"&amp;20,'BOM Data'!$A$2:$A$180,0))="","",INDEX('BOM Data'!$H$2:$H$180,MATCH($B$3&amp;"-"&amp;20,'BOM Data'!$A$2:$A$180,0))),"")</x:f>
      </x:c>
      <x:c r="D27" s="37" t="str">
        <x:f>IFERROR(IF(INDEX('BOM Data'!$J$2:$J$180,MATCH($B$3&amp;"-"&amp;20,'BOM Data'!$A$2:$A$180,0))="","",INDEX('BOM Data'!$J$2:$J$180,MATCH($B$3&amp;"-"&amp;20,'BOM Data'!$A$2:$A$180,0))),"")</x:f>
      </x:c>
      <x:c r="E27" s="10" t="str">
        <x:f>IFERROR(IF(INDEX('BOM Data'!$G$2:$G$180,MATCH($B$3&amp;"-"&amp;20,'BOM Data'!$A$2:$A$180,0))="","",INDEX('BOM Data'!$G$2:$G$180,MATCH($B$3&amp;"-"&amp;20,'BOM Data'!$A$2:$A$180,0))),"")</x:f>
      </x:c>
      <x:c r="F27" s="10" t="str">
        <x:f>IFERROR(IF(INDEX('BOM Data'!$F$2:$F$180,MATCH($B$3&amp;"-"&amp;20,'BOM Data'!$A$2:$A$180,0))="","",INDEX('BOM Data'!$F$2:$F$180,MATCH($B$3&amp;"-"&amp;20,'BOM Data'!$A$2:$A$180,0))),"")</x:f>
      </x:c>
      <x:c r="G27" s="10" t="str">
        <x:f>IFERROR(IF(INDEX('BOM Data'!$K$2:$K$180,MATCH($B$3&amp;"-"&amp;20,'BOM Data'!$A$2:$A$180,0))="","",INDEX('BOM Data'!$K$2:$K$180,MATCH($B$3&amp;"-"&amp;20,'BOM Data'!$A$2:$A$180,0))),"")</x:f>
      </x:c>
      <x:c r="H27" s="10" t="str">
        <x:f>IFERROR(IF(INDEX('BOM Data'!$O$2:$O$180,MATCH($B$3&amp;"-"&amp;20,'BOM Data'!$A$2:$A$180,0))="","",INDEX('BOM Data'!$O$2:$O$180,MATCH($B$3&amp;"-"&amp;20,'BOM Data'!$A$2:$A$180,0))),"")</x:f>
      </x:c>
      <x:c r="I27" s="10" t="str">
        <x:f>IFERROR(IF(INDEX('BOM Data'!$R$2:$R$180,MATCH($B$3&amp;"-"&amp;20,'BOM Data'!$A$2:$A$180,0))="","",INDEX('BOM Data'!$R$2:$R$180,MATCH($B$3&amp;"-"&amp;20,'BOM Data'!$A$2:$A$180,0))),"")</x:f>
      </x:c>
    </x:row>
    <x:row r="28" ht="63" customHeight="1">
      <x:c r="A28" s="12" t="str">
        <x:f>IFERROR(IF(INDEX('BOM Data'!$C$2:$C$180,MATCH($B$3&amp;"-"&amp;21,'BOM Data'!$A$2:$A$180,0))="","",INDEX('BOM Data'!$C$2:$C$180,MATCH($B$3&amp;"-"&amp;21,'BOM Data'!$A$2:$A$180,0))),"")</x:f>
      </x:c>
      <x:c r="B28" s="12" t="str">
        <x:f>IFERROR(IF(INDEX('BOM Data'!$D$2:$D$180,MATCH($B$3&amp;"-"&amp;21,'BOM Data'!$A$2:$A$180,0))="","",INDEX('BOM Data'!$D$2:$D$180,MATCH($B$3&amp;"-"&amp;21,'BOM Data'!$A$2:$A$180,0))),"")</x:f>
      </x:c>
      <x:c r="C28" s="12" t="str">
        <x:f>IFERROR(IF(INDEX('BOM Data'!$H$2:$H$180,MATCH($B$3&amp;"-"&amp;21,'BOM Data'!$A$2:$A$180,0))="","",INDEX('BOM Data'!$H$2:$H$180,MATCH($B$3&amp;"-"&amp;21,'BOM Data'!$A$2:$A$180,0))),"")</x:f>
      </x:c>
      <x:c r="D28" s="36" t="str">
        <x:f>IFERROR(IF(INDEX('BOM Data'!$J$2:$J$180,MATCH($B$3&amp;"-"&amp;21,'BOM Data'!$A$2:$A$180,0))="","",INDEX('BOM Data'!$J$2:$J$180,MATCH($B$3&amp;"-"&amp;21,'BOM Data'!$A$2:$A$180,0))),"")</x:f>
      </x:c>
      <x:c r="E28" s="12" t="str">
        <x:f>IFERROR(IF(INDEX('BOM Data'!$G$2:$G$180,MATCH($B$3&amp;"-"&amp;21,'BOM Data'!$A$2:$A$180,0))="","",INDEX('BOM Data'!$G$2:$G$180,MATCH($B$3&amp;"-"&amp;21,'BOM Data'!$A$2:$A$180,0))),"")</x:f>
      </x:c>
      <x:c r="F28" s="12" t="str">
        <x:f>IFERROR(IF(INDEX('BOM Data'!$F$2:$F$180,MATCH($B$3&amp;"-"&amp;21,'BOM Data'!$A$2:$A$180,0))="","",INDEX('BOM Data'!$F$2:$F$180,MATCH($B$3&amp;"-"&amp;21,'BOM Data'!$A$2:$A$180,0))),"")</x:f>
      </x:c>
      <x:c r="G28" s="12" t="str">
        <x:f>IFERROR(IF(INDEX('BOM Data'!$K$2:$K$180,MATCH($B$3&amp;"-"&amp;21,'BOM Data'!$A$2:$A$180,0))="","",INDEX('BOM Data'!$K$2:$K$180,MATCH($B$3&amp;"-"&amp;21,'BOM Data'!$A$2:$A$180,0))),"")</x:f>
      </x:c>
      <x:c r="H28" s="12" t="str">
        <x:f>IFERROR(IF(INDEX('BOM Data'!$O$2:$O$180,MATCH($B$3&amp;"-"&amp;21,'BOM Data'!$A$2:$A$180,0))="","",INDEX('BOM Data'!$O$2:$O$180,MATCH($B$3&amp;"-"&amp;21,'BOM Data'!$A$2:$A$180,0))),"")</x:f>
      </x:c>
      <x:c r="I28" s="12" t="str">
        <x:f>IFERROR(IF(INDEX('BOM Data'!$R$2:$R$180,MATCH($B$3&amp;"-"&amp;21,'BOM Data'!$A$2:$A$180,0))="","",INDEX('BOM Data'!$R$2:$R$180,MATCH($B$3&amp;"-"&amp;21,'BOM Data'!$A$2:$A$180,0))),"")</x:f>
      </x:c>
    </x:row>
    <x:row r="29" ht="51" customHeight="1">
      <x:c r="A29" s="110"/>
      <x:c r="B29" s="110"/>
      <x:c r="C29" s="110"/>
      <x:c r="D29" s="111"/>
      <x:c r="E29" s="110"/>
      <x:c r="F29" s="110"/>
      <x:c r="G29" s="110"/>
      <x:c r="H29" s="110"/>
      <x:c r="I29" s="110"/>
    </x:row>
    <x:row r="30" ht="51" customHeight="1">
      <x:c r="A30" s="110"/>
      <x:c r="B30" s="110"/>
      <x:c r="C30" s="110"/>
      <x:c r="D30" s="111"/>
      <x:c r="E30" s="110"/>
      <x:c r="F30" s="110"/>
      <x:c r="G30" s="110"/>
      <x:c r="H30" s="110"/>
      <x:c r="I30" s="110"/>
    </x:row>
    <x:row r="31">
      <x:c r="A31" s="112"/>
      <x:c r="B31" s="112"/>
      <x:c r="C31" s="112"/>
      <x:c r="D31" s="112"/>
      <x:c r="E31" s="112"/>
      <x:c r="F31" s="112"/>
      <x:c r="G31" s="112"/>
      <x:c r="H31" s="112"/>
      <x:c r="I31" s="112"/>
    </x:row>
    <x:row r="32">
      <x:c r="A32" s="112"/>
      <x:c r="B32" s="112"/>
      <x:c r="C32" s="112"/>
      <x:c r="D32" s="112"/>
      <x:c r="E32" s="112"/>
      <x:c r="F32" s="112"/>
      <x:c r="G32" s="112"/>
      <x:c r="H32" s="112"/>
      <x:c r="I32" s="112"/>
    </x:row>
    <x:row r="33">
      <x:c r="A33" s="112"/>
      <x:c r="B33" s="112"/>
      <x:c r="C33" s="112"/>
      <x:c r="D33" s="112"/>
      <x:c r="E33" s="112"/>
      <x:c r="F33" s="112"/>
      <x:c r="G33" s="112"/>
      <x:c r="H33" s="112"/>
      <x:c r="I33" s="112"/>
    </x:row>
    <x:row r="34">
      <x:c r="A34" s="112"/>
      <x:c r="B34" s="112"/>
      <x:c r="C34" s="112"/>
      <x:c r="D34" s="112"/>
      <x:c r="E34" s="112"/>
      <x:c r="F34" s="112"/>
      <x:c r="G34" s="112"/>
      <x:c r="H34" s="112"/>
      <x:c r="I34" s="112"/>
    </x:row>
    <x:row r="35">
      <x:c r="A35" s="112"/>
      <x:c r="B35" s="112"/>
      <x:c r="C35" s="112"/>
      <x:c r="D35" s="112"/>
      <x:c r="E35" s="112"/>
      <x:c r="F35" s="112"/>
      <x:c r="G35" s="112"/>
      <x:c r="H35" s="112"/>
      <x:c r="I35" s="112"/>
    </x:row>
    <x:row r="36">
      <x:c r="A36" s="112"/>
      <x:c r="B36" s="112"/>
      <x:c r="C36" s="112"/>
      <x:c r="D36" s="112"/>
      <x:c r="E36" s="112"/>
      <x:c r="F36" s="112"/>
      <x:c r="G36" s="112"/>
      <x:c r="H36" s="112"/>
      <x:c r="I36" s="112"/>
    </x:row>
  </x:sheetData>
  <x:mergeCells>
    <x:mergeCell ref="A1:I1"/>
    <x:mergeCell ref="A2:I2"/>
    <x:mergeCell ref="A5:I5"/>
  </x:mergeCells>
  <x:dataValidations count="1">
    <x:dataValidation type="list" sqref="B3">
      <x:formula1>Routes!$A$5:$A$15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41" hidden="0" customWidth="1"/>
    <x:col min="4" max="4" width="63" hidden="0" customWidth="1"/>
    <x:col min="5" max="5" width="48" hidden="0" customWidth="1"/>
    <x:col min="6" max="6" width="55" hidden="0" customWidth="1"/>
    <x:col min="7" max="7" width="70" hidden="0" customWidth="1"/>
    <x:col min="8" max="8" width="40" hidden="0" customWidth="1"/>
    <x:col min="9" max="9" width="25" hidden="0" customWidth="1"/>
    <x:col min="10" max="10" width="30" hidden="0" customWidth="1"/>
    <x:col min="11" max="11" width="30" hidden="0" customWidth="1"/>
    <x:col min="12" max="12" width="28" hidden="0" customWidth="1"/>
    <x:col min="13" max="13" width="25" hidden="0" customWidth="1"/>
    <x:col min="14" max="14" width="25" hidden="0" customWidth="1"/>
    <x:col min="15" max="15" width="25" hidden="0" customWidth="1"/>
    <x:col min="16" max="16" width="22" hidden="0" customWidth="1"/>
  </x:cols>
  <x:sheetData>
    <x:row r="1" ht="38" customHeight="1">
      <x:c r="A1" s="144" t="str">
        <x:v>02  SOLUTION ROUTES | VEHICLE &amp; APPLICATION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</x:row>
    <x:row r="2" ht="43" customHeight="1">
      <x:c r="A2" s="145" t="str">
        <x:v>OFFICIAL CONFIG IDS follow the user-approved reference: C01–C11. C06/C07/C08/C09/C10 are the five detailed Construction hardware routes.</x:v>
      </x:c>
      <x:c r="B2" s="145"/>
      <x:c r="C2" s="145"/>
      <x:c r="D2" s="145"/>
      <x:c r="E2" s="145"/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</x:row>
    <x:row r="3" ht="54" customHeight="1">
      <x:c r="A3" s="149" t="str">
        <x:v>Do not assign historic ST1/ST2 IDs as customer-facing route numbers. Unmapped agriculture routes have no canonical ID in this workbook.</x:v>
      </x:c>
      <x:c r="B3" s="149"/>
      <x:c r="C3" s="149"/>
      <x:c r="D3" s="149"/>
      <x:c r="E3" s="149"/>
      <x:c r="F3" s="149"/>
      <x:c r="G3" s="149"/>
      <x:c r="H3" s="149"/>
      <x:c r="I3" s="149"/>
      <x:c r="J3" s="149"/>
      <x:c r="K3" s="149"/>
      <x:c r="L3" s="149"/>
      <x:c r="M3" s="149"/>
      <x:c r="N3" s="149"/>
      <x:c r="O3" s="149"/>
      <x:c r="P3" s="149"/>
    </x:row>
    <x:row r="4" ht="40" customHeight="1">
      <x:c r="A4" s="141" t="str">
        <x:v>Config ID</x:v>
      </x:c>
      <x:c r="B4" s="141" t="str">
        <x:v>Segment</x:v>
      </x:c>
      <x:c r="C4" s="141" t="str">
        <x:v>Configuration route</x:v>
      </x:c>
      <x:c r="D4" s="141" t="str">
        <x:v>Source recommendation</x:v>
      </x:c>
      <x:c r="E4" s="141" t="str">
        <x:v>Use case / purpose</x:v>
      </x:c>
      <x:c r="F4" s="141" t="str">
        <x:v>Release status</x:v>
      </x:c>
      <x:c r="G4" s="141" t="str">
        <x:v>Sales action</x:v>
      </x:c>
      <x:c r="H4" s="141" t="str">
        <x:v>Project / customer</x:v>
      </x:c>
      <x:c r="I4" s="141" t="str">
        <x:v>Machine / model</x:v>
      </x:c>
      <x:c r="J4" s="141" t="str">
        <x:v>Country / region</x:v>
      </x:c>
      <x:c r="K4" s="141" t="str">
        <x:v>Vehicles</x:v>
      </x:c>
      <x:c r="L4" s="141" t="str">
        <x:v>Required coverage / camera positions</x:v>
      </x:c>
      <x:c r="M4" s="141" t="str">
        <x:v>Power / voltage</x:v>
      </x:c>
      <x:c r="N4" s="141" t="str">
        <x:v>Connectivity / cloud required</x:v>
      </x:c>
      <x:c r="O4" s="141" t="str">
        <x:v>Other project requirements</x:v>
      </x:c>
      <x:c r="P4" s="141" t="str">
        <x:v>Stage</x:v>
      </x:c>
    </x:row>
    <x:row r="5" ht="61" customHeight="1">
      <x:c r="A5" s="236" t="str">
        <x:v>C01</x:v>
      </x:c>
      <x:c r="B5" s="136" t="str">
        <x:v>Project route — reference</x:v>
      </x:c>
      <x:c r="C5" s="136" t="str">
        <x:v>Jobsite vehicle local blind-spot warning</x:v>
      </x:c>
      <x:c r="D5" s="136" t="str">
        <x:v>C46 AHD + local display/alarm | C46 AHD · 5152178100020</x:v>
      </x:c>
      <x:c r="E5" s="136" t="str">
        <x:v>Local vehicle-only alerts</x:v>
      </x:c>
      <x:c r="F5" s="235" t="str">
        <x:v>Project reference; NOT a standardized orderable kit</x:v>
      </x:c>
      <x:c r="G5" s="136" t="str">
        <x:v>Project-based route; verify power, wiring and alarm integration; Recheck assembled BOM in ERP/PDM or obtain Product Manager approval before customer release.</x:v>
      </x:c>
      <x:c r="H5" s="136"/>
      <x:c r="I5" s="136" t="str">
        <x:v>C46 AHD + local display/alarm</x:v>
      </x:c>
      <x:c r="J5" s="136" t="str">
        <x:v>Project specific</x:v>
      </x:c>
      <x:c r="K5" s="136"/>
      <x:c r="L5" s="136" t="str">
        <x:v>By monitored zones</x:v>
      </x:c>
      <x:c r="M5" s="136"/>
      <x:c r="N5" s="136"/>
      <x:c r="O5" s="136" t="str">
        <x:v>Host: No MDVR host kit; Camera: C46 AHD · 5152178100020; Display: Waterproof required: DW7P; otherwise: DP7S. Verify signal, power and cabling.; Alarm: B2/BA5 per design; Network: Use AHD-specific wiring; not interchangeable with IPC</x:v>
      </x:c>
      <x:c r="P5" s="136" t="str">
        <x:v>Reference only</x:v>
      </x:c>
    </x:row>
    <x:row r="6" ht="61" customHeight="1">
      <x:c r="A6" s="237" t="str">
        <x:v>C02</x:v>
      </x:c>
      <x:c r="B6" s="138" t="str">
        <x:v>Project route — reference</x:v>
      </x:c>
      <x:c r="C6" s="138" t="str">
        <x:v>Connected BSD and fleet management</x:v>
      </x:c>
      <x:c r="D6" s="138" t="str">
        <x:v>C46 IPC + MDVR + FT Cloud | C46 IPC · 5152178100023</x:v>
      </x:c>
      <x:c r="E6" s="138" t="str">
        <x:v>Video, alerts and cloud operations</x:v>
      </x:c>
      <x:c r="F6" s="235" t="str">
        <x:v>Project reference; NOT a standardized orderable kit</x:v>
      </x:c>
      <x:c r="G6" s="138" t="str">
        <x:v>C46 is positioned for flexible installation, scenario-tuned on-device AI and connected risk management; check cloud region/licensing.; Recheck assembled BOM in ERP/PDM or obtain Product Manager approval before customer release.</x:v>
      </x:c>
      <x:c r="H6" s="138"/>
      <x:c r="I6" s="138" t="str">
        <x:v>C46 IPC + MDVR + FT Cloud</x:v>
      </x:c>
      <x:c r="J6" s="138" t="str">
        <x:v>Project specific</x:v>
      </x:c>
      <x:c r="K6" s="138"/>
      <x:c r="L6" s="138" t="str">
        <x:v>By monitored zones</x:v>
      </x:c>
      <x:c r="M6" s="138"/>
      <x:c r="N6" s="138"/>
      <x:c r="O6" s="138" t="str">
        <x:v>Host: Choose regional MDVR kit; Camera: C46 IPC · 5152178100023; Display: Waterproof required: DW7P; otherwise: DP7S. Verify signal, power and cabling.; Alarm: BA5-I/O per design; Network: Verify host IPC interfaces and cloud service</x:v>
      </x:c>
      <x:c r="P6" s="138" t="str">
        <x:v>Reference only</x:v>
      </x:c>
    </x:row>
    <x:row r="7" ht="61" customHeight="1">
      <x:c r="A7" s="236" t="str">
        <x:v>C03</x:v>
      </x:c>
      <x:c r="B7" s="136" t="str">
        <x:v>Project route — reference</x:v>
      </x:c>
      <x:c r="C7" s="136" t="str">
        <x:v>Long same-side blind spot + front same-side blind spot</x:v>
      </x:c>
      <x:c r="D7" s="136" t="str">
        <x:v>C53 BSIS + CA51 + B3A + MDVR + FT Cloud | Not a standard C46 route</x:v>
      </x:c>
      <x:c r="E7" s="136" t="str">
        <x:v>Focused warning on the front and long side of the same side</x:v>
      </x:c>
      <x:c r="F7" s="235" t="str">
        <x:v>Project reference; NOT a standardized orderable kit</x:v>
      </x:c>
      <x:c r="G7" s="136" t="str">
        <x:v>C53 must be front-mounted per the intended solution, monitoring the same-side long side and front blind spot; confirm route-specific compliance.; Recheck assembled BOM in ERP/PDM or obtain Product Manager approval before customer release.</x:v>
      </x:c>
      <x:c r="H7" s="136"/>
      <x:c r="I7" s="136" t="str">
        <x:v>C53 BSIS + CA51 + B3A + MDVR + FT Cloud</x:v>
      </x:c>
      <x:c r="J7" s="136" t="str">
        <x:v>Project specific</x:v>
      </x:c>
      <x:c r="K7" s="136"/>
      <x:c r="L7" s="136" t="str">
        <x:v>Per C53 design</x:v>
      </x:c>
      <x:c r="M7" s="136"/>
      <x:c r="N7" s="136"/>
      <x:c r="O7" s="136" t="str">
        <x:v>Host: Per MDVR design; Camera: Not a standard C46 route; Display: Per design; Alarm: B3A; Network: Check exact hardware and regulatory applicability</x:v>
      </x:c>
      <x:c r="P7" s="136" t="str">
        <x:v>Reference only</x:v>
      </x:c>
    </x:row>
    <x:row r="8" ht="61" customHeight="1">
      <x:c r="A8" s="237" t="str">
        <x:v>C04</x:v>
      </x:c>
      <x:c r="B8" s="138" t="str">
        <x:v>Project route — reference</x:v>
      </x:c>
      <x:c r="C8" s="138" t="str">
        <x:v>360° bird’s-eye surround view / low-speed observation</x:v>
      </x:c>
      <x:c r="D8" s="138" t="str">
        <x:v>AI-AVM/360° + 4×CA51 + MDVR/Dashcam | C46 is project-specific optional</x:v>
      </x:c>
      <x:c r="E8" s="138" t="str">
        <x:v>Pre-departure and low-speed turning visual checks</x:v>
      </x:c>
      <x:c r="F8" s="235" t="str">
        <x:v>Project reference; NOT a standardized orderable kit</x:v>
      </x:c>
      <x:c r="G8" s="138" t="str">
        <x:v>For drivers comfortable with passenger-car 360° views; intuitive and compelling visual demo. Only claim AI functions included in the selected AVM system.; Recheck assembled BOM in ERP/PDM or obtain Product Manager approval before customer release.</x:v>
      </x:c>
      <x:c r="H8" s="138"/>
      <x:c r="I8" s="138" t="str">
        <x:v>AI-AVM/360° + 4×CA51 + MDVR/Dashcam</x:v>
      </x:c>
      <x:c r="J8" s="138" t="str">
        <x:v>Project specific</x:v>
      </x:c>
      <x:c r="K8" s="138"/>
      <x:c r="L8" s="138" t="str">
        <x:v>4×CA51 baseline</x:v>
      </x:c>
      <x:c r="M8" s="138"/>
      <x:c r="N8" s="138"/>
      <x:c r="O8" s="138" t="str">
        <x:v>Host: Per AI-AVM processor; Camera: C46 is project-specific optional; Display: Per AVM kit; Alarm: Per project; Network: Coordinate processor, calibration and outputs</x:v>
      </x:c>
      <x:c r="P8" s="138" t="str">
        <x:v>Reference only</x:v>
      </x:c>
    </x:row>
    <x:row r="9" ht="61" customHeight="1">
      <x:c r="A9" s="236" t="str">
        <x:v>C05</x:v>
      </x:c>
      <x:c r="B9" s="136" t="str">
        <x:v>Project route — reference</x:v>
      </x:c>
      <x:c r="C9" s="136" t="str">
        <x:v>Electronic indirect vision assistance</x:v>
      </x:c>
      <x:c r="D9" s="136" t="str">
        <x:v>CM31/CMS + C53 + DP12S | N/A</x:v>
      </x:c>
      <x:c r="E9" s="136" t="str">
        <x:v>Digital field-of-view enhancement</x:v>
      </x:c>
      <x:c r="F9" s="235" t="str">
        <x:v>Project reference; NOT a standardized orderable kit</x:v>
      </x:c>
      <x:c r="G9" s="136" t="str">
        <x:v>Do not promise replacement of physical mirrors without approval; Recheck assembled BOM in ERP/PDM or obtain Product Manager approval before customer release.</x:v>
      </x:c>
      <x:c r="H9" s="136"/>
      <x:c r="I9" s="136" t="str">
        <x:v>CM31/CMS + C53 + DP12S</x:v>
      </x:c>
      <x:c r="J9" s="136" t="str">
        <x:v>Project specific</x:v>
      </x:c>
      <x:c r="K9" s="136"/>
      <x:c r="L9" s="136" t="str">
        <x:v>Per CMS design</x:v>
      </x:c>
      <x:c r="M9" s="136"/>
      <x:c r="N9" s="136"/>
      <x:c r="O9" s="136" t="str">
        <x:v>Host: OEM-specific configuration; Camera: N/A; Display: DP12S; Alarm: Per OEM design; Network: Vehicle integration and compliance approval</x:v>
      </x:c>
      <x:c r="P9" s="136" t="str">
        <x:v>Reference only</x:v>
      </x:c>
    </x:row>
    <x:row r="10" ht="61" customHeight="1">
      <x:c r="A10" s="237" t="str">
        <x:v>C06</x:v>
      </x:c>
      <x:c r="B10" s="138" t="str">
        <x:v>Stage 2 — Detailed Construction</x:v>
      </x:c>
      <x:c r="C10" s="138" t="str">
        <x:v>North America standard 4-camera route</x:v>
      </x:c>
      <x:c r="D10" s="138" t="str">
        <x:v>M3N H0404 · NA preferred | C46 IPC · 5152178100023</x:v>
      </x:c>
      <x:c r="E10" s="138" t="str">
        <x:v>Flexible C46 placement and scenario-specific edge AI for monitored blind spots</x:v>
      </x:c>
      <x:c r="F10" s="138" t="str">
        <x:v>Configuration specified; formal QA in 03</x:v>
      </x:c>
      <x:c r="G10" s="138" t="str">
        <x:v>0017 PoC fallback ONLY if 0023 out of stock; no production substitution; C46 value: flexible fitment and scenario-specific edge AI.; Recheck assembled BOM in ERP/PDM or obtain Product Manager approval before customer release.</x:v>
      </x:c>
      <x:c r="H10" s="138"/>
      <x:c r="I10" s="138" t="str">
        <x:v>M3N H0404 · NA preferred</x:v>
      </x:c>
      <x:c r="J10" s="138" t="str">
        <x:v>North America</x:v>
      </x:c>
      <x:c r="K10" s="138"/>
      <x:c r="L10" s="138" t="str">
        <x:v>4</x:v>
      </x:c>
      <x:c r="M10" s="138"/>
      <x:c r="N10" s="138"/>
      <x:c r="O10" s="138" t="str">
        <x:v>Host: 5120121100005; Camera: C46 IPC · 5152178100023; Display: Waterproof required: DW7P; otherwise: DP7S. Verify signal, power and cabling.; Alarm: BA5-O ×1; BA5-I ×1 strongly recommended; Network: No switch; 20-pin harness included in host kit</x:v>
      </x:c>
      <x:c r="P10" s="138" t="str">
        <x:v>Detailed route</x:v>
      </x:c>
    </x:row>
    <x:row r="11" ht="61" customHeight="1">
      <x:c r="A11" s="236" t="str">
        <x:v>C07</x:v>
      </x:c>
      <x:c r="B11" s="136" t="str">
        <x:v>Stage 2 — Detailed Construction</x:v>
      </x:c>
      <x:c r="C11" s="136" t="str">
        <x:v>M1N compact 2-camera route</x:v>
      </x:c>
      <x:c r="D11" s="136" t="str">
        <x:v>M1N 2.0 · 2 cameras | C46 IPC · 5152178100023</x:v>
      </x:c>
      <x:c r="E11" s="136" t="str">
        <x:v>Prioritize two key blind spots by vehicle use</x:v>
      </x:c>
      <x:c r="F11" s="136" t="str">
        <x:v>Configuration specified; formal QA in 03</x:v>
      </x:c>
      <x:c r="G11" s="136" t="str">
        <x:v>Confirmed IPC SKU; match harness and vehicle integration; C46 value: flexible fitment and scenario-specific edge AI.; Recheck assembled BOM in ERP/PDM or obtain Product Manager approval before customer release.</x:v>
      </x:c>
      <x:c r="H11" s="136"/>
      <x:c r="I11" s="136" t="str">
        <x:v>M1N 2.0 · 2 cameras</x:v>
      </x:c>
      <x:c r="J11" s="136" t="str">
        <x:v>Select regional SKU</x:v>
      </x:c>
      <x:c r="K11" s="136"/>
      <x:c r="L11" s="136" t="str">
        <x:v>2</x:v>
      </x:c>
      <x:c r="M11" s="136"/>
      <x:c r="N11" s="136"/>
      <x:c r="O11" s="136" t="str">
        <x:v>Host: Choose region/storage from BOM; Camera: C46 IPC · 5152178100023; Display: Waterproof required: DW7P; otherwise: DP7S. Verify signal, power and cabling.; Alarm: BA5-O ×1; BA5-I optional; Network: No extra switch; choose camera extensions by installation distance</x:v>
      </x:c>
      <x:c r="P11" s="136" t="str">
        <x:v>Detailed route</x:v>
      </x:c>
    </x:row>
    <x:row r="12" ht="61" customHeight="1">
      <x:c r="A12" s="237" t="str">
        <x:v>C08</x:v>
      </x:c>
      <x:c r="B12" s="138" t="str">
        <x:v>Stage 2 — Detailed Construction</x:v>
      </x:c>
      <x:c r="C12" s="138" t="str">
        <x:v>M1N standard 4-camera route</x:v>
      </x:c>
      <x:c r="D12" s="138" t="str">
        <x:v>M1N 2.0 · 4 cameras | C46 IPC · 5152178100023</x:v>
      </x:c>
      <x:c r="E12" s="138" t="str">
        <x:v>Flexible C46 placement and scenario-specific edge AI for monitored blind spots</x:v>
      </x:c>
      <x:c r="F12" s="138" t="str">
        <x:v>Configuration specified; formal QA in 03</x:v>
      </x:c>
      <x:c r="G12" s="138" t="str">
        <x:v>No extra switch power accessory; use established 4-camera drawing; C46 value: flexible fitment and scenario-specific edge AI.; Recheck assembled BOM in ERP/PDM or obtain Product Manager approval before customer release.</x:v>
      </x:c>
      <x:c r="H12" s="138"/>
      <x:c r="I12" s="138" t="str">
        <x:v>M1N 2.0 · 4 cameras</x:v>
      </x:c>
      <x:c r="J12" s="138" t="str">
        <x:v>Select regional SKU</x:v>
      </x:c>
      <x:c r="K12" s="138"/>
      <x:c r="L12" s="138" t="str">
        <x:v>4</x:v>
      </x:c>
      <x:c r="M12" s="138"/>
      <x:c r="N12" s="138"/>
      <x:c r="O12" s="138" t="str">
        <x:v>Host: Choose region/storage from BOM; Camera: C46 IPC · 5152178100023; Display: Waterproof required: DW7P; otherwise: DP7S. Verify signal, power and cabling.; Alarm: BA5-O ×1; BA5-I ×1 strongly recommended; Network: Switch 5173002100003 ×1 + cable 1261020000036 ×1</x:v>
      </x:c>
      <x:c r="P12" s="138" t="str">
        <x:v>Detailed route</x:v>
      </x:c>
    </x:row>
    <x:row r="13" ht="61" customHeight="1">
      <x:c r="A13" s="236" t="str">
        <x:v>C09</x:v>
      </x:c>
      <x:c r="B13" s="136" t="str">
        <x:v>Stage 2 — Detailed Construction</x:v>
      </x:c>
      <x:c r="C13" s="136" t="str">
        <x:v>M1N standard 5-camera route</x:v>
      </x:c>
      <x:c r="D13" s="136" t="str">
        <x:v>M1N 2.0 · 5 cameras | C46 IPC · 5152178100023</x:v>
      </x:c>
      <x:c r="E13" s="136" t="str">
        <x:v>Flexible C46 placement and scenario-specific edge AI for monitored blind spots</x:v>
      </x:c>
      <x:c r="F13" s="136" t="str">
        <x:v>Configuration specified; formal QA in 03</x:v>
      </x:c>
      <x:c r="G13" s="136" t="str">
        <x:v>Use established 5-camera drawing; vehicle-level acceptance still applies; C46 value: flexible fitment and scenario-specific edge AI.; Recheck assembled BOM in ERP/PDM or obtain Product Manager approval before customer release.</x:v>
      </x:c>
      <x:c r="H13" s="136"/>
      <x:c r="I13" s="136" t="str">
        <x:v>M1N 2.0 · 5 cameras</x:v>
      </x:c>
      <x:c r="J13" s="136" t="str">
        <x:v>Select regional SKU</x:v>
      </x:c>
      <x:c r="K13" s="136"/>
      <x:c r="L13" s="136" t="str">
        <x:v>5</x:v>
      </x:c>
      <x:c r="M13" s="136"/>
      <x:c r="N13" s="136"/>
      <x:c r="O13" s="136" t="str">
        <x:v>Host: Choose region/storage from BOM; Camera: C46 IPC · 5152178100023; Display: Waterproof required: DW7P; otherwise: DP7S. Verify signal, power and cabling.; Alarm: BA5-O ×1; BA5-I ×1 strongly recommended; Network: Switch 5173002100003 ×1 + cable 1261020000036 ×1</x:v>
      </x:c>
      <x:c r="P13" s="136" t="str">
        <x:v>Detailed route</x:v>
      </x:c>
    </x:row>
    <x:row r="14" ht="61" customHeight="1">
      <x:c r="A14" s="237" t="str">
        <x:v>C10</x:v>
      </x:c>
      <x:c r="B14" s="138" t="str">
        <x:v>Stage 2 — Detailed Construction</x:v>
      </x:c>
      <x:c r="C14" s="138" t="str">
        <x:v>M3N H0204 EU/Asia 4-camera alternative</x:v>
      </x:c>
      <x:c r="D14" s="138" t="str">
        <x:v>M3N H0204 · EU/Asia | C46 IPC · 5152178100023</x:v>
      </x:c>
      <x:c r="E14" s="138" t="str">
        <x:v>Flexible C46 placement and scenario-specific edge AI for monitored blind spots</x:v>
      </x:c>
      <x:c r="F14" s="138" t="str">
        <x:v>Configuration specified; formal QA in 03</x:v>
      </x:c>
      <x:c r="G14" s="138" t="str">
        <x:v>Not standard in NA; prefer H0404, escalate requests to Product Manager; C46 value: flexible fitment and scenario-specific edge AI.; Recheck assembled BOM in ERP/PDM or obtain Product Manager approval before customer release.</x:v>
      </x:c>
      <x:c r="H14" s="138"/>
      <x:c r="I14" s="138" t="str">
        <x:v>M3N H0204 · EU/Asia</x:v>
      </x:c>
      <x:c r="J14" s="138" t="str">
        <x:v>EU/Asia</x:v>
      </x:c>
      <x:c r="K14" s="138"/>
      <x:c r="L14" s="138" t="str">
        <x:v>4</x:v>
      </x:c>
      <x:c r="M14" s="138"/>
      <x:c r="N14" s="138"/>
      <x:c r="O14" s="138" t="str">
        <x:v>Host: 5120182100013; Camera: C46 IPC · 5152178100023; Display: Waterproof required: DW7P; otherwise: DP7S. Verify signal, power and cabling.; Alarm: BA5-O ×1; BA5-I ×1 strongly recommended; Network: No switch; 20-pin harness and 1TB SSD included</x:v>
      </x:c>
      <x:c r="P14" s="138" t="str">
        <x:v>Detailed route</x:v>
      </x:c>
    </x:row>
    <x:row r="15" ht="61" customHeight="1">
      <x:c r="A15" s="236" t="str">
        <x:v>C11</x:v>
      </x:c>
      <x:c r="B15" s="136" t="str">
        <x:v>Project route — reference</x:v>
      </x:c>
      <x:c r="C15" s="136" t="str">
        <x:v>Local pedestrian/object risk alert</x:v>
      </x:c>
      <x:c r="D15" s="136" t="str">
        <x:v>C46 + local display/alarm | AHD · 5152178100020 / IPC · 5152178100023</x:v>
      </x:c>
      <x:c r="E15" s="136" t="str">
        <x:v>Front/rear or local hazards</x:v>
      </x:c>
      <x:c r="F15" s="235" t="str">
        <x:v>Project reference; NOT a standardized orderable kit</x:v>
      </x:c>
      <x:c r="G15" s="136" t="str">
        <x:v>Project reference; verify truck model, duty and site test; Recheck assembled BOM in ERP/PDM or obtain Product Manager approval before customer release.</x:v>
      </x:c>
      <x:c r="H15" s="136"/>
      <x:c r="I15" s="136" t="str">
        <x:v>C46 + local display/alarm</x:v>
      </x:c>
      <x:c r="J15" s="136" t="str">
        <x:v>Project specific</x:v>
      </x:c>
      <x:c r="K15" s="136"/>
      <x:c r="L15" s="136" t="str">
        <x:v>By risk coverage</x:v>
      </x:c>
      <x:c r="M15" s="136"/>
      <x:c r="N15" s="136"/>
      <x:c r="O15" s="136" t="str">
        <x:v>Host: Project-specific; Camera: AHD · 5152178100020 / IPC · 5152178100023; Display: Waterproof required: DW7P; otherwise: DP7S. Verify signal, power and cabling.; Alarm: B2/BA5 per design; Network: AHD and IPC follow different signal paths</x:v>
      </x:c>
      <x:c r="P15" s="136" t="str">
        <x:v>Reference only</x:v>
      </x:c>
    </x:row>
    <x:row r="16" ht="64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</x:row>
    <x:row r="17" ht="64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</x:row>
  </x:sheetData>
  <x:mergeCells>
    <x:mergeCell ref="A1:P1"/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49db4da3f16e432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7" hidden="0" customWidth="1"/>
    <x:col min="4" max="4" width="40" hidden="0" customWidth="1"/>
    <x:col min="5" max="5" width="25" hidden="0" customWidth="1"/>
    <x:col min="6" max="6" width="28" hidden="0" customWidth="1"/>
    <x:col min="7" max="7" width="51" hidden="0" customWidth="1"/>
    <x:col min="8" max="8" width="18" hidden="0" customWidth="1"/>
    <x:col min="9" max="9" width="24" hidden="0" customWidth="1"/>
    <x:col min="10" max="10" width="24" hidden="0" customWidth="1"/>
    <x:col min="11" max="11" width="45" hidden="0" customWidth="1"/>
    <x:col min="12" max="12" width="20" hidden="0" customWidth="1"/>
    <x:col min="13" max="13" width="51" hidden="0" customWidth="1"/>
    <x:col min="14" max="14" width="38" hidden="0" customWidth="1"/>
    <x:col min="15" max="15" width="49" hidden="0" customWidth="1"/>
    <x:col min="16" max="16" width="23" hidden="0" customWidth="1"/>
    <x:col min="17" max="17" width="62" hidden="0" customWidth="1"/>
    <x:col min="18" max="18" width="41" hidden="0" customWidth="1"/>
  </x:cols>
  <x:sheetData>
    <x:row r="1" ht="60" customHeight="1">
      <x:c r="A1" s="141" t="str">
        <x:v>Lookup key</x:v>
      </x:c>
      <x:c r="B1" s="141" t="str">
        <x:v>Config ID</x:v>
      </x:c>
      <x:c r="C1" s="141" t="str">
        <x:v>Line ID</x:v>
      </x:c>
      <x:c r="D1" s="141" t="str">
        <x:v>Component / assembly</x:v>
      </x:c>
      <x:c r="E1" s="141" t="str">
        <x:v>Category</x:v>
      </x:c>
      <x:c r="F1" s="141" t="str">
        <x:v>Requirement basis</x:v>
      </x:c>
      <x:c r="G1" s="141" t="str">
        <x:v>Selection / inclusion</x:v>
      </x:c>
      <x:c r="H1" s="141" t="str">
        <x:v>Qty per vehicle</x:v>
      </x:c>
      <x:c r="I1" s="141" t="str">
        <x:v>Qty basis</x:v>
      </x:c>
      <x:c r="J1" s="141" t="str">
        <x:v>Orderable Part Number</x:v>
      </x:c>
      <x:c r="K1" s="141" t="str">
        <x:v>Variant / specification to confirm</x:v>
      </x:c>
      <x:c r="L1" s="141" t="str">
        <x:v>Included in kit?</x:v>
      </x:c>
      <x:c r="M1" s="141" t="str">
        <x:v>Compatibility / interface to confirm</x:v>
      </x:c>
      <x:c r="N1" s="141" t="str">
        <x:v>NA adaptation / certification</x:v>
      </x:c>
      <x:c r="O1" s="141" t="str">
        <x:v>Validation status</x:v>
      </x:c>
      <x:c r="P1" s="141" t="str">
        <x:v>Owner</x:v>
      </x:c>
      <x:c r="Q1" s="141" t="str">
        <x:v>Notes</x:v>
      </x:c>
      <x:c r="R1" s="141" t="str">
        <x:v>Alternative model / PN (verify)</x:v>
      </x:c>
    </x:row>
    <x:row r="2" ht="55" customHeight="1">
      <x:c r="A2" s="136" t="str">
        <x:v>C01-1</x:v>
      </x:c>
      <x:c r="B2" s="136" t="str">
        <x:v>C01</x:v>
      </x:c>
      <x:c r="C2" s="136" t="str">
        <x:v>C01-01</x:v>
      </x:c>
      <x:c r="D2" s="136" t="str">
        <x:v>C46A AHD</x:v>
      </x:c>
      <x:c r="E2" s="136" t="str">
        <x:v>Camera / sensor</x:v>
      </x:c>
      <x:c r="F2" s="136" t="str">
        <x:v>Source named</x:v>
      </x:c>
      <x:c r="G2" s="136" t="str">
        <x:v>Required for selected route</x:v>
      </x:c>
      <x:c r="H2" s="136"/>
      <x:c r="I2" s="136" t="str">
        <x:v>Quantity TBD</x:v>
      </x:c>
      <x:c r="J2" s="137" t="str">
        <x:v>5152178100020</x:v>
      </x:c>
      <x:c r="K2" s="136" t="str">
        <x:v>Mounting, lens, coverage and exact SKU TBD</x:v>
      </x:c>
      <x:c r="L2" s="136" t="str">
        <x:v>To be defined for project</x:v>
      </x:c>
      <x:c r="M2" s="136" t="str">
        <x:v>Requires PM/FAE design</x:v>
      </x:c>
      <x:c r="N2" s="136" t="str">
        <x:v>TBD; no approval implied</x:v>
      </x:c>
      <x:c r="O2" s="227" t="str">
        <x:v>Project reference ONLY; exact orderable kit/compatibility not signed off</x:v>
      </x:c>
      <x:c r="P2" s="136" t="str">
        <x:v>Product / FAE</x:v>
      </x:c>
      <x:c r="Q2" s="136"/>
      <x:c r="R2" s="136"/>
    </x:row>
    <x:row r="3" ht="55" customHeight="1">
      <x:c r="A3" s="138" t="str">
        <x:v>C01-2</x:v>
      </x:c>
      <x:c r="B3" s="138" t="str">
        <x:v>C01</x:v>
      </x:c>
      <x:c r="C3" s="138" t="str">
        <x:v>C01-02</x:v>
      </x:c>
      <x:c r="D3" s="138" t="str">
        <x:v>Display</x:v>
      </x:c>
      <x:c r="E3" s="138" t="str">
        <x:v>HMI</x:v>
      </x:c>
      <x:c r="F3" s="138" t="str">
        <x:v>Source named</x:v>
      </x:c>
      <x:c r="G3" s="138" t="str">
        <x:v>Required for selected route</x:v>
      </x:c>
      <x:c r="H3" s="138"/>
      <x:c r="I3" s="138" t="str">
        <x:v>Source quantity unspecified</x:v>
      </x:c>
      <x:c r="J3" s="139"/>
      <x:c r="K3" s="138" t="str">
        <x:v>Size, video input and SKU TBD</x:v>
      </x:c>
      <x:c r="L3" s="138" t="str">
        <x:v>To be defined for project</x:v>
      </x:c>
      <x:c r="M3" s="138" t="str">
        <x:v>Requires PM/FAE design</x:v>
      </x:c>
      <x:c r="N3" s="138" t="str">
        <x:v>TBD; no approval implied</x:v>
      </x:c>
      <x:c r="O3" s="227" t="str">
        <x:v>Project reference ONLY; exact orderable kit/compatibility not signed off</x:v>
      </x:c>
      <x:c r="P3" s="138" t="str">
        <x:v>Product / FAE</x:v>
      </x:c>
      <x:c r="Q3" s="138"/>
      <x:c r="R3" s="138"/>
    </x:row>
    <x:row r="4" ht="55" customHeight="1">
      <x:c r="A4" s="136" t="str">
        <x:v>C01-3</x:v>
      </x:c>
      <x:c r="B4" s="136" t="str">
        <x:v>C01</x:v>
      </x:c>
      <x:c r="C4" s="136" t="str">
        <x:v>C01-03</x:v>
      </x:c>
      <x:c r="D4" s="136" t="str">
        <x:v>Local alarm</x:v>
      </x:c>
      <x:c r="E4" s="136" t="str">
        <x:v>Alarm</x:v>
      </x:c>
      <x:c r="F4" s="136" t="str">
        <x:v>Source named</x:v>
      </x:c>
      <x:c r="G4" s="136" t="str">
        <x:v>Required for selected route</x:v>
      </x:c>
      <x:c r="H4" s="136"/>
      <x:c r="I4" s="136" t="str">
        <x:v>Source quantity unspecified</x:v>
      </x:c>
      <x:c r="J4" s="137"/>
      <x:c r="K4" s="136" t="str">
        <x:v>Alarm type, interface and SKU TBD</x:v>
      </x:c>
      <x:c r="L4" s="136" t="str">
        <x:v>To be defined for project</x:v>
      </x:c>
      <x:c r="M4" s="136" t="str">
        <x:v>Requires PM/FAE design</x:v>
      </x:c>
      <x:c r="N4" s="136" t="str">
        <x:v>TBD; no approval implied</x:v>
      </x:c>
      <x:c r="O4" s="227" t="str">
        <x:v>Project reference ONLY; exact orderable kit/compatibility not signed off</x:v>
      </x:c>
      <x:c r="P4" s="136" t="str">
        <x:v>Product / FAE</x:v>
      </x:c>
      <x:c r="Q4" s="136"/>
      <x:c r="R4" s="136"/>
    </x:row>
    <x:row r="5" ht="55" customHeight="1">
      <x:c r="A5" s="138" t="str">
        <x:v>C01-4</x:v>
      </x:c>
      <x:c r="B5" s="138" t="str">
        <x:v>C01</x:v>
      </x:c>
      <x:c r="C5" s="138" t="str">
        <x:v>C01-04</x:v>
      </x:c>
      <x:c r="D5" s="138" t="str">
        <x:v>Power harness / protection</x:v>
      </x:c>
      <x:c r="E5" s="138" t="str">
        <x:v>Power</x:v>
      </x:c>
      <x:c r="F5" s="138" t="str">
        <x:v>Engineering suggestion</x:v>
      </x:c>
      <x:c r="G5" s="138" t="str">
        <x:v>Assess required</x:v>
      </x:c>
      <x:c r="H5" s="138"/>
      <x:c r="I5" s="138" t="str">
        <x:v>TBD by vehicle</x:v>
      </x:c>
      <x:c r="J5" s="139"/>
      <x:c r="K5" s="138" t="str">
        <x:v>Voltage range, fuse, ignition and grounding TBD</x:v>
      </x:c>
      <x:c r="L5" s="138" t="str">
        <x:v>To be defined for project</x:v>
      </x:c>
      <x:c r="M5" s="138" t="str">
        <x:v>Requires PM/FAE design</x:v>
      </x:c>
      <x:c r="N5" s="138" t="str">
        <x:v>TBD; no approval implied</x:v>
      </x:c>
      <x:c r="O5" s="227" t="str">
        <x:v>Project reference ONLY; exact orderable kit/compatibility not signed off</x:v>
      </x:c>
      <x:c r="P5" s="138" t="str">
        <x:v>Product / FAE</x:v>
      </x:c>
      <x:c r="Q5" s="138"/>
      <x:c r="R5" s="138"/>
    </x:row>
    <x:row r="6" ht="55" customHeight="1">
      <x:c r="A6" s="136" t="str">
        <x:v>C01-5</x:v>
      </x:c>
      <x:c r="B6" s="136" t="str">
        <x:v>C01</x:v>
      </x:c>
      <x:c r="C6" s="136" t="str">
        <x:v>C01-05</x:v>
      </x:c>
      <x:c r="D6" s="136" t="str">
        <x:v>Video / data / extension harness</x:v>
      </x:c>
      <x:c r="E6" s="136" t="str">
        <x:v>Wiring</x:v>
      </x:c>
      <x:c r="F6" s="136" t="str">
        <x:v>Engineering suggestion</x:v>
      </x:c>
      <x:c r="G6" s="136" t="str">
        <x:v>Assess required</x:v>
      </x:c>
      <x:c r="H6" s="136"/>
      <x:c r="I6" s="136" t="str">
        <x:v>TBD by layout</x:v>
      </x:c>
      <x:c r="J6" s="137"/>
      <x:c r="K6" s="136" t="str">
        <x:v>Connector, length, pinout and routing TBD</x:v>
      </x:c>
      <x:c r="L6" s="136" t="str">
        <x:v>To be defined for project</x:v>
      </x:c>
      <x:c r="M6" s="136" t="str">
        <x:v>Requires PM/FAE design</x:v>
      </x:c>
      <x:c r="N6" s="136" t="str">
        <x:v>TBD; no approval implied</x:v>
      </x:c>
      <x:c r="O6" s="227" t="str">
        <x:v>Project reference ONLY; exact orderable kit/compatibility not signed off</x:v>
      </x:c>
      <x:c r="P6" s="136" t="str">
        <x:v>Product / FAE</x:v>
      </x:c>
      <x:c r="Q6" s="136"/>
      <x:c r="R6" s="136"/>
    </x:row>
    <x:row r="7" ht="55" customHeight="1">
      <x:c r="A7" s="138" t="str">
        <x:v>C01-6</x:v>
      </x:c>
      <x:c r="B7" s="138" t="str">
        <x:v>C01</x:v>
      </x:c>
      <x:c r="C7" s="138" t="str">
        <x:v>C01-06</x:v>
      </x:c>
      <x:c r="D7" s="138" t="str">
        <x:v>Mounting bracket / fasteners</x:v>
      </x:c>
      <x:c r="E7" s="138" t="str">
        <x:v>Installation</x:v>
      </x:c>
      <x:c r="F7" s="138" t="str">
        <x:v>Engineering suggestion</x:v>
      </x:c>
      <x:c r="G7" s="138" t="str">
        <x:v>Assess required</x:v>
      </x:c>
      <x:c r="H7" s="138"/>
      <x:c r="I7" s="138" t="str">
        <x:v>TBD by machine</x:v>
      </x:c>
      <x:c r="J7" s="139"/>
      <x:c r="K7" s="138" t="str">
        <x:v>Mounting location and vibration suitability TBD</x:v>
      </x:c>
      <x:c r="L7" s="138" t="str">
        <x:v>To be defined for project</x:v>
      </x:c>
      <x:c r="M7" s="138" t="str">
        <x:v>Requires PM/FAE design</x:v>
      </x:c>
      <x:c r="N7" s="138" t="str">
        <x:v>TBD; no approval implied</x:v>
      </x:c>
      <x:c r="O7" s="227" t="str">
        <x:v>Project reference ONLY; exact orderable kit/compatibility not signed off</x:v>
      </x:c>
      <x:c r="P7" s="138" t="str">
        <x:v>Product / FAE</x:v>
      </x:c>
      <x:c r="Q7" s="138"/>
      <x:c r="R7" s="138"/>
    </x:row>
    <x:row r="8" ht="55" customHeight="1">
      <x:c r="A8" s="136" t="str">
        <x:v>C02-1</x:v>
      </x:c>
      <x:c r="B8" s="136" t="str">
        <x:v>C02</x:v>
      </x:c>
      <x:c r="C8" s="136" t="str">
        <x:v>C02-01</x:v>
      </x:c>
      <x:c r="D8" s="136" t="str">
        <x:v>C46 IPC</x:v>
      </x:c>
      <x:c r="E8" s="136" t="str">
        <x:v>Camera / sensor</x:v>
      </x:c>
      <x:c r="F8" s="136" t="str">
        <x:v>Source named</x:v>
      </x:c>
      <x:c r="G8" s="136" t="str">
        <x:v>Required for selected route</x:v>
      </x:c>
      <x:c r="H8" s="136"/>
      <x:c r="I8" s="136" t="str">
        <x:v>Quantity TBD</x:v>
      </x:c>
      <x:c r="J8" s="137" t="str">
        <x:v>5152178100023</x:v>
      </x:c>
      <x:c r="K8" s="136" t="str">
        <x:v>Mounting, lens, coverage and exact SKU TBD</x:v>
      </x:c>
      <x:c r="L8" s="136" t="str">
        <x:v>To be defined for project</x:v>
      </x:c>
      <x:c r="M8" s="136" t="str">
        <x:v>Requires PM/FAE design</x:v>
      </x:c>
      <x:c r="N8" s="136" t="str">
        <x:v>TBD; no approval implied</x:v>
      </x:c>
      <x:c r="O8" s="227" t="str">
        <x:v>Project reference ONLY; exact orderable kit/compatibility not signed off</x:v>
      </x:c>
      <x:c r="P8" s="136" t="str">
        <x:v>Product / FAE</x:v>
      </x:c>
      <x:c r="Q8" s="136"/>
      <x:c r="R8" s="136"/>
    </x:row>
    <x:row r="9" ht="55" customHeight="1">
      <x:c r="A9" s="138" t="str">
        <x:v>C02-2</x:v>
      </x:c>
      <x:c r="B9" s="138" t="str">
        <x:v>C02</x:v>
      </x:c>
      <x:c r="C9" s="138" t="str">
        <x:v>C02-02</x:v>
      </x:c>
      <x:c r="D9" s="138" t="str">
        <x:v>MDVR</x:v>
      </x:c>
      <x:c r="E9" s="138" t="str">
        <x:v>Recorder</x:v>
      </x:c>
      <x:c r="F9" s="138" t="str">
        <x:v>Source named</x:v>
      </x:c>
      <x:c r="G9" s="138" t="str">
        <x:v>Required for selected route</x:v>
      </x:c>
      <x:c r="H9" s="138"/>
      <x:c r="I9" s="138" t="str">
        <x:v>Source quantity unspecified</x:v>
      </x:c>
      <x:c r="J9" s="139"/>
      <x:c r="K9" s="138" t="str">
        <x:v>Model, channels, storage, firmware TBD</x:v>
      </x:c>
      <x:c r="L9" s="138" t="str">
        <x:v>To be defined for project</x:v>
      </x:c>
      <x:c r="M9" s="138" t="str">
        <x:v>Requires PM/FAE design</x:v>
      </x:c>
      <x:c r="N9" s="138" t="str">
        <x:v>TBD; no approval implied</x:v>
      </x:c>
      <x:c r="O9" s="227" t="str">
        <x:v>Project reference ONLY; exact orderable kit/compatibility not signed off</x:v>
      </x:c>
      <x:c r="P9" s="138" t="str">
        <x:v>Product / FAE</x:v>
      </x:c>
      <x:c r="Q9" s="138"/>
      <x:c r="R9" s="138"/>
    </x:row>
    <x:row r="10" ht="55" customHeight="1">
      <x:c r="A10" s="136" t="str">
        <x:v>C02-3</x:v>
      </x:c>
      <x:c r="B10" s="136" t="str">
        <x:v>C02</x:v>
      </x:c>
      <x:c r="C10" s="136" t="str">
        <x:v>C02-03</x:v>
      </x:c>
      <x:c r="D10" s="136" t="str">
        <x:v>FT Cloud</x:v>
      </x:c>
      <x:c r="E10" s="136" t="str">
        <x:v>Platform</x:v>
      </x:c>
      <x:c r="F10" s="136" t="str">
        <x:v>Source named</x:v>
      </x:c>
      <x:c r="G10" s="136" t="str">
        <x:v>Required for selected route</x:v>
      </x:c>
      <x:c r="H10" s="136"/>
      <x:c r="I10" s="136" t="str">
        <x:v>Subscription and licensing TBD</x:v>
      </x:c>
      <x:c r="J10" s="137"/>
      <x:c r="K10" s="136" t="str">
        <x:v>Region, account, connectivity and SKU TBD</x:v>
      </x:c>
      <x:c r="L10" s="136" t="str">
        <x:v>To be defined for project</x:v>
      </x:c>
      <x:c r="M10" s="136" t="str">
        <x:v>Requires PM/FAE design</x:v>
      </x:c>
      <x:c r="N10" s="136" t="str">
        <x:v>TBD; no approval implied</x:v>
      </x:c>
      <x:c r="O10" s="227" t="str">
        <x:v>Project reference ONLY; exact orderable kit/compatibility not signed off</x:v>
      </x:c>
      <x:c r="P10" s="136" t="str">
        <x:v>Product / FAE</x:v>
      </x:c>
      <x:c r="Q10" s="136"/>
      <x:c r="R10" s="136"/>
    </x:row>
    <x:row r="11" ht="55" customHeight="1">
      <x:c r="A11" s="138" t="str">
        <x:v>C02-4</x:v>
      </x:c>
      <x:c r="B11" s="138" t="str">
        <x:v>C02</x:v>
      </x:c>
      <x:c r="C11" s="138" t="str">
        <x:v>C02-04</x:v>
      </x:c>
      <x:c r="D11" s="138" t="str">
        <x:v>Storage media</x:v>
      </x:c>
      <x:c r="E11" s="138" t="str">
        <x:v>Recorder accessory</x:v>
      </x:c>
      <x:c r="F11" s="138" t="str">
        <x:v>Engineering suggestion</x:v>
      </x:c>
      <x:c r="G11" s="138" t="str">
        <x:v>Assess required</x:v>
      </x:c>
      <x:c r="H11" s="138"/>
      <x:c r="I11" s="138" t="str">
        <x:v>TBD by recording policy</x:v>
      </x:c>
      <x:c r="J11" s="139"/>
      <x:c r="K11" s="138" t="str">
        <x:v>Capacity, endurance and approved media TBD</x:v>
      </x:c>
      <x:c r="L11" s="138" t="str">
        <x:v>To be defined for project</x:v>
      </x:c>
      <x:c r="M11" s="138" t="str">
        <x:v>Requires PM/FAE design</x:v>
      </x:c>
      <x:c r="N11" s="138" t="str">
        <x:v>TBD; no approval implied</x:v>
      </x:c>
      <x:c r="O11" s="227" t="str">
        <x:v>Project reference ONLY; exact orderable kit/compatibility not signed off</x:v>
      </x:c>
      <x:c r="P11" s="138" t="str">
        <x:v>Product / FAE</x:v>
      </x:c>
      <x:c r="Q11" s="138"/>
      <x:c r="R11" s="138"/>
    </x:row>
    <x:row r="12" ht="55" customHeight="1">
      <x:c r="A12" s="136" t="str">
        <x:v>C02-5</x:v>
      </x:c>
      <x:c r="B12" s="136" t="str">
        <x:v>C02</x:v>
      </x:c>
      <x:c r="C12" s="136" t="str">
        <x:v>C02-05</x:v>
      </x:c>
      <x:c r="D12" s="136" t="str">
        <x:v>Cellular connectivity / antenna / SIM</x:v>
      </x:c>
      <x:c r="E12" s="136" t="str">
        <x:v>Connectivity</x:v>
      </x:c>
      <x:c r="F12" s="136" t="str">
        <x:v>Engineering suggestion</x:v>
      </x:c>
      <x:c r="G12" s="136" t="str">
        <x:v>Assess required</x:v>
      </x:c>
      <x:c r="H12" s="136"/>
      <x:c r="I12" s="136" t="str">
        <x:v>TBD by design</x:v>
      </x:c>
      <x:c r="J12" s="137"/>
      <x:c r="K12" s="136" t="str">
        <x:v>Modem bands, carrier, antenna and service TBD</x:v>
      </x:c>
      <x:c r="L12" s="136" t="str">
        <x:v>To be defined for project</x:v>
      </x:c>
      <x:c r="M12" s="136" t="str">
        <x:v>Requires PM/FAE design</x:v>
      </x:c>
      <x:c r="N12" s="136" t="str">
        <x:v>TBD; no approval implied</x:v>
      </x:c>
      <x:c r="O12" s="227" t="str">
        <x:v>Project reference ONLY; exact orderable kit/compatibility not signed off</x:v>
      </x:c>
      <x:c r="P12" s="136" t="str">
        <x:v>Product / FAE</x:v>
      </x:c>
      <x:c r="Q12" s="136"/>
      <x:c r="R12" s="136"/>
    </x:row>
    <x:row r="13" ht="55" customHeight="1">
      <x:c r="A13" s="138" t="str">
        <x:v>C02-6</x:v>
      </x:c>
      <x:c r="B13" s="138" t="str">
        <x:v>C02</x:v>
      </x:c>
      <x:c r="C13" s="138" t="str">
        <x:v>C02-06</x:v>
      </x:c>
      <x:c r="D13" s="138" t="str">
        <x:v>Power harness / protection</x:v>
      </x:c>
      <x:c r="E13" s="138" t="str">
        <x:v>Power</x:v>
      </x:c>
      <x:c r="F13" s="138" t="str">
        <x:v>Engineering suggestion</x:v>
      </x:c>
      <x:c r="G13" s="138" t="str">
        <x:v>Assess required</x:v>
      </x:c>
      <x:c r="H13" s="138"/>
      <x:c r="I13" s="138" t="str">
        <x:v>TBD by vehicle</x:v>
      </x:c>
      <x:c r="J13" s="139"/>
      <x:c r="K13" s="138" t="str">
        <x:v>Voltage range, fuse, ignition and grounding TBD</x:v>
      </x:c>
      <x:c r="L13" s="138" t="str">
        <x:v>To be defined for project</x:v>
      </x:c>
      <x:c r="M13" s="138" t="str">
        <x:v>Requires PM/FAE design</x:v>
      </x:c>
      <x:c r="N13" s="138" t="str">
        <x:v>TBD; no approval implied</x:v>
      </x:c>
      <x:c r="O13" s="227" t="str">
        <x:v>Project reference ONLY; exact orderable kit/compatibility not signed off</x:v>
      </x:c>
      <x:c r="P13" s="138" t="str">
        <x:v>Product / FAE</x:v>
      </x:c>
      <x:c r="Q13" s="138"/>
      <x:c r="R13" s="138"/>
    </x:row>
    <x:row r="14" ht="55" customHeight="1">
      <x:c r="A14" s="136" t="str">
        <x:v>C02-7</x:v>
      </x:c>
      <x:c r="B14" s="136" t="str">
        <x:v>C02</x:v>
      </x:c>
      <x:c r="C14" s="136" t="str">
        <x:v>C02-07</x:v>
      </x:c>
      <x:c r="D14" s="136" t="str">
        <x:v>Video / data / extension harness</x:v>
      </x:c>
      <x:c r="E14" s="136" t="str">
        <x:v>Wiring</x:v>
      </x:c>
      <x:c r="F14" s="136" t="str">
        <x:v>Engineering suggestion</x:v>
      </x:c>
      <x:c r="G14" s="136" t="str">
        <x:v>Assess required</x:v>
      </x:c>
      <x:c r="H14" s="136"/>
      <x:c r="I14" s="136" t="str">
        <x:v>TBD by layout</x:v>
      </x:c>
      <x:c r="J14" s="137"/>
      <x:c r="K14" s="136" t="str">
        <x:v>Connector, length, pinout and routing TBD</x:v>
      </x:c>
      <x:c r="L14" s="136" t="str">
        <x:v>To be defined for project</x:v>
      </x:c>
      <x:c r="M14" s="136" t="str">
        <x:v>Requires PM/FAE design</x:v>
      </x:c>
      <x:c r="N14" s="136" t="str">
        <x:v>TBD; no approval implied</x:v>
      </x:c>
      <x:c r="O14" s="227" t="str">
        <x:v>Project reference ONLY; exact orderable kit/compatibility not signed off</x:v>
      </x:c>
      <x:c r="P14" s="136" t="str">
        <x:v>Product / FAE</x:v>
      </x:c>
      <x:c r="Q14" s="136"/>
      <x:c r="R14" s="136"/>
    </x:row>
    <x:row r="15" ht="55" customHeight="1">
      <x:c r="A15" s="138" t="str">
        <x:v>C02-8</x:v>
      </x:c>
      <x:c r="B15" s="138" t="str">
        <x:v>C02</x:v>
      </x:c>
      <x:c r="C15" s="138" t="str">
        <x:v>C02-08</x:v>
      </x:c>
      <x:c r="D15" s="138" t="str">
        <x:v>Mounting bracket / fasteners</x:v>
      </x:c>
      <x:c r="E15" s="138" t="str">
        <x:v>Installation</x:v>
      </x:c>
      <x:c r="F15" s="138" t="str">
        <x:v>Engineering suggestion</x:v>
      </x:c>
      <x:c r="G15" s="138" t="str">
        <x:v>Assess required</x:v>
      </x:c>
      <x:c r="H15" s="138"/>
      <x:c r="I15" s="138" t="str">
        <x:v>TBD by machine</x:v>
      </x:c>
      <x:c r="J15" s="139"/>
      <x:c r="K15" s="138" t="str">
        <x:v>Mounting location and vibration suitability TBD</x:v>
      </x:c>
      <x:c r="L15" s="138" t="str">
        <x:v>To be defined for project</x:v>
      </x:c>
      <x:c r="M15" s="138" t="str">
        <x:v>Requires PM/FAE design</x:v>
      </x:c>
      <x:c r="N15" s="138" t="str">
        <x:v>TBD; no approval implied</x:v>
      </x:c>
      <x:c r="O15" s="227" t="str">
        <x:v>Project reference ONLY; exact orderable kit/compatibility not signed off</x:v>
      </x:c>
      <x:c r="P15" s="138" t="str">
        <x:v>Product / FAE</x:v>
      </x:c>
      <x:c r="Q15" s="138"/>
      <x:c r="R15" s="138"/>
    </x:row>
    <x:row r="16" ht="55" customHeight="1">
      <x:c r="A16" s="136" t="str">
        <x:v>C03-1</x:v>
      </x:c>
      <x:c r="B16" s="136" t="str">
        <x:v>C03</x:v>
      </x:c>
      <x:c r="C16" s="136" t="str">
        <x:v>C03-01</x:v>
      </x:c>
      <x:c r="D16" s="136" t="str">
        <x:v>C53 BSIS</x:v>
      </x:c>
      <x:c r="E16" s="136" t="str">
        <x:v>Camera / sensor</x:v>
      </x:c>
      <x:c r="F16" s="136" t="str">
        <x:v>Source named</x:v>
      </x:c>
      <x:c r="G16" s="136" t="str">
        <x:v>Required for selected route</x:v>
      </x:c>
      <x:c r="H16" s="136"/>
      <x:c r="I16" s="136" t="str">
        <x:v>Quantity TBD</x:v>
      </x:c>
      <x:c r="J16" s="137"/>
      <x:c r="K16" s="136" t="str">
        <x:v>Mounting, lens, coverage and exact SKU TBD</x:v>
      </x:c>
      <x:c r="L16" s="136" t="str">
        <x:v>To be defined for project</x:v>
      </x:c>
      <x:c r="M16" s="136" t="str">
        <x:v>Requires PM/FAE design</x:v>
      </x:c>
      <x:c r="N16" s="136" t="str">
        <x:v>TBD; no approval implied</x:v>
      </x:c>
      <x:c r="O16" s="227" t="str">
        <x:v>Project reference ONLY; exact orderable kit/compatibility not signed off</x:v>
      </x:c>
      <x:c r="P16" s="136" t="str">
        <x:v>Product / FAE</x:v>
      </x:c>
      <x:c r="Q16" s="136"/>
      <x:c r="R16" s="136"/>
    </x:row>
    <x:row r="17" ht="55" customHeight="1">
      <x:c r="A17" s="138" t="str">
        <x:v>C03-2</x:v>
      </x:c>
      <x:c r="B17" s="138" t="str">
        <x:v>C03</x:v>
      </x:c>
      <x:c r="C17" s="138" t="str">
        <x:v>C03-02</x:v>
      </x:c>
      <x:c r="D17" s="138" t="str">
        <x:v>MDVR</x:v>
      </x:c>
      <x:c r="E17" s="138" t="str">
        <x:v>Recorder</x:v>
      </x:c>
      <x:c r="F17" s="138" t="str">
        <x:v>Source named</x:v>
      </x:c>
      <x:c r="G17" s="138" t="str">
        <x:v>Required for selected route</x:v>
      </x:c>
      <x:c r="H17" s="138"/>
      <x:c r="I17" s="138" t="str">
        <x:v>Source quantity unspecified</x:v>
      </x:c>
      <x:c r="J17" s="139"/>
      <x:c r="K17" s="138" t="str">
        <x:v>Model, channels, storage, firmware TBD</x:v>
      </x:c>
      <x:c r="L17" s="138" t="str">
        <x:v>To be defined for project</x:v>
      </x:c>
      <x:c r="M17" s="138" t="str">
        <x:v>Requires PM/FAE design</x:v>
      </x:c>
      <x:c r="N17" s="138" t="str">
        <x:v>TBD; no approval implied</x:v>
      </x:c>
      <x:c r="O17" s="227" t="str">
        <x:v>Project reference ONLY; exact orderable kit/compatibility not signed off</x:v>
      </x:c>
      <x:c r="P17" s="138" t="str">
        <x:v>Product / FAE</x:v>
      </x:c>
      <x:c r="Q17" s="138"/>
      <x:c r="R17" s="138"/>
    </x:row>
    <x:row r="18" ht="55" customHeight="1">
      <x:c r="A18" s="136" t="str">
        <x:v>C03-3</x:v>
      </x:c>
      <x:c r="B18" s="136" t="str">
        <x:v>C03</x:v>
      </x:c>
      <x:c r="C18" s="136" t="str">
        <x:v>C03-03</x:v>
      </x:c>
      <x:c r="D18" s="136" t="str">
        <x:v>FT Cloud</x:v>
      </x:c>
      <x:c r="E18" s="136" t="str">
        <x:v>Platform</x:v>
      </x:c>
      <x:c r="F18" s="136" t="str">
        <x:v>Source named</x:v>
      </x:c>
      <x:c r="G18" s="136" t="str">
        <x:v>Required for selected route</x:v>
      </x:c>
      <x:c r="H18" s="136"/>
      <x:c r="I18" s="136" t="str">
        <x:v>Subscription and licensing TBD</x:v>
      </x:c>
      <x:c r="J18" s="137"/>
      <x:c r="K18" s="136" t="str">
        <x:v>Region, account, connectivity and SKU TBD</x:v>
      </x:c>
      <x:c r="L18" s="136" t="str">
        <x:v>To be defined for project</x:v>
      </x:c>
      <x:c r="M18" s="136" t="str">
        <x:v>Requires PM/FAE design</x:v>
      </x:c>
      <x:c r="N18" s="136" t="str">
        <x:v>TBD; no approval implied</x:v>
      </x:c>
      <x:c r="O18" s="227" t="str">
        <x:v>Project reference ONLY; exact orderable kit/compatibility not signed off</x:v>
      </x:c>
      <x:c r="P18" s="136" t="str">
        <x:v>Product / FAE</x:v>
      </x:c>
      <x:c r="Q18" s="136"/>
      <x:c r="R18" s="136"/>
    </x:row>
    <x:row r="19" ht="55" customHeight="1">
      <x:c r="A19" s="138" t="str">
        <x:v>C03-4</x:v>
      </x:c>
      <x:c r="B19" s="138" t="str">
        <x:v>C03</x:v>
      </x:c>
      <x:c r="C19" s="138" t="str">
        <x:v>C03-04</x:v>
      </x:c>
      <x:c r="D19" s="138" t="str">
        <x:v>Storage media</x:v>
      </x:c>
      <x:c r="E19" s="138" t="str">
        <x:v>Recorder accessory</x:v>
      </x:c>
      <x:c r="F19" s="138" t="str">
        <x:v>Engineering suggestion</x:v>
      </x:c>
      <x:c r="G19" s="138" t="str">
        <x:v>Assess required</x:v>
      </x:c>
      <x:c r="H19" s="138"/>
      <x:c r="I19" s="138" t="str">
        <x:v>TBD by recording policy</x:v>
      </x:c>
      <x:c r="J19" s="139"/>
      <x:c r="K19" s="138" t="str">
        <x:v>Capacity, endurance and approved media TBD</x:v>
      </x:c>
      <x:c r="L19" s="138" t="str">
        <x:v>To be defined for project</x:v>
      </x:c>
      <x:c r="M19" s="138" t="str">
        <x:v>Requires PM/FAE design</x:v>
      </x:c>
      <x:c r="N19" s="138" t="str">
        <x:v>TBD; no approval implied</x:v>
      </x:c>
      <x:c r="O19" s="227" t="str">
        <x:v>Project reference ONLY; exact orderable kit/compatibility not signed off</x:v>
      </x:c>
      <x:c r="P19" s="138" t="str">
        <x:v>Product / FAE</x:v>
      </x:c>
      <x:c r="Q19" s="138"/>
      <x:c r="R19" s="138"/>
    </x:row>
    <x:row r="20" ht="55" customHeight="1">
      <x:c r="A20" s="136" t="str">
        <x:v>C03-5</x:v>
      </x:c>
      <x:c r="B20" s="136" t="str">
        <x:v>C03</x:v>
      </x:c>
      <x:c r="C20" s="136" t="str">
        <x:v>C03-05</x:v>
      </x:c>
      <x:c r="D20" s="136" t="str">
        <x:v>Cellular connectivity / antenna / SIM</x:v>
      </x:c>
      <x:c r="E20" s="136" t="str">
        <x:v>Connectivity</x:v>
      </x:c>
      <x:c r="F20" s="136" t="str">
        <x:v>Engineering suggestion</x:v>
      </x:c>
      <x:c r="G20" s="136" t="str">
        <x:v>Assess required</x:v>
      </x:c>
      <x:c r="H20" s="136"/>
      <x:c r="I20" s="136" t="str">
        <x:v>TBD by design</x:v>
      </x:c>
      <x:c r="J20" s="137"/>
      <x:c r="K20" s="136" t="str">
        <x:v>Modem bands, carrier, antenna and service TBD</x:v>
      </x:c>
      <x:c r="L20" s="136" t="str">
        <x:v>To be defined for project</x:v>
      </x:c>
      <x:c r="M20" s="136" t="str">
        <x:v>Requires PM/FAE design</x:v>
      </x:c>
      <x:c r="N20" s="136" t="str">
        <x:v>TBD; no approval implied</x:v>
      </x:c>
      <x:c r="O20" s="227" t="str">
        <x:v>Project reference ONLY; exact orderable kit/compatibility not signed off</x:v>
      </x:c>
      <x:c r="P20" s="136" t="str">
        <x:v>Product / FAE</x:v>
      </x:c>
      <x:c r="Q20" s="136"/>
      <x:c r="R20" s="136"/>
    </x:row>
    <x:row r="21" ht="55" customHeight="1">
      <x:c r="A21" s="138" t="str">
        <x:v>C03-6</x:v>
      </x:c>
      <x:c r="B21" s="138" t="str">
        <x:v>C03</x:v>
      </x:c>
      <x:c r="C21" s="138" t="str">
        <x:v>C03-06</x:v>
      </x:c>
      <x:c r="D21" s="138" t="str">
        <x:v>Power harness / protection</x:v>
      </x:c>
      <x:c r="E21" s="138" t="str">
        <x:v>Power</x:v>
      </x:c>
      <x:c r="F21" s="138" t="str">
        <x:v>Engineering suggestion</x:v>
      </x:c>
      <x:c r="G21" s="138" t="str">
        <x:v>Assess required</x:v>
      </x:c>
      <x:c r="H21" s="138"/>
      <x:c r="I21" s="138" t="str">
        <x:v>TBD by vehicle</x:v>
      </x:c>
      <x:c r="J21" s="139"/>
      <x:c r="K21" s="138" t="str">
        <x:v>Voltage range, fuse, ignition and grounding TBD</x:v>
      </x:c>
      <x:c r="L21" s="138" t="str">
        <x:v>To be defined for project</x:v>
      </x:c>
      <x:c r="M21" s="138" t="str">
        <x:v>Requires PM/FAE design</x:v>
      </x:c>
      <x:c r="N21" s="138" t="str">
        <x:v>TBD; no approval implied</x:v>
      </x:c>
      <x:c r="O21" s="227" t="str">
        <x:v>Project reference ONLY; exact orderable kit/compatibility not signed off</x:v>
      </x:c>
      <x:c r="P21" s="138" t="str">
        <x:v>Product / FAE</x:v>
      </x:c>
      <x:c r="Q21" s="138"/>
      <x:c r="R21" s="138"/>
    </x:row>
    <x:row r="22" ht="55" customHeight="1">
      <x:c r="A22" s="136" t="str">
        <x:v>C03-7</x:v>
      </x:c>
      <x:c r="B22" s="136" t="str">
        <x:v>C03</x:v>
      </x:c>
      <x:c r="C22" s="136" t="str">
        <x:v>C03-07</x:v>
      </x:c>
      <x:c r="D22" s="136" t="str">
        <x:v>Video / data / extension harness</x:v>
      </x:c>
      <x:c r="E22" s="136" t="str">
        <x:v>Wiring</x:v>
      </x:c>
      <x:c r="F22" s="136" t="str">
        <x:v>Engineering suggestion</x:v>
      </x:c>
      <x:c r="G22" s="136" t="str">
        <x:v>Assess required</x:v>
      </x:c>
      <x:c r="H22" s="136"/>
      <x:c r="I22" s="136" t="str">
        <x:v>TBD by layout</x:v>
      </x:c>
      <x:c r="J22" s="137"/>
      <x:c r="K22" s="136" t="str">
        <x:v>Connector, length, pinout and routing TBD</x:v>
      </x:c>
      <x:c r="L22" s="136" t="str">
        <x:v>To be defined for project</x:v>
      </x:c>
      <x:c r="M22" s="136" t="str">
        <x:v>Requires PM/FAE design</x:v>
      </x:c>
      <x:c r="N22" s="136" t="str">
        <x:v>TBD; no approval implied</x:v>
      </x:c>
      <x:c r="O22" s="227" t="str">
        <x:v>Project reference ONLY; exact orderable kit/compatibility not signed off</x:v>
      </x:c>
      <x:c r="P22" s="136" t="str">
        <x:v>Product / FAE</x:v>
      </x:c>
      <x:c r="Q22" s="136"/>
      <x:c r="R22" s="136"/>
    </x:row>
    <x:row r="23" ht="55" customHeight="1">
      <x:c r="A23" s="138" t="str">
        <x:v>C03-8</x:v>
      </x:c>
      <x:c r="B23" s="138" t="str">
        <x:v>C03</x:v>
      </x:c>
      <x:c r="C23" s="138" t="str">
        <x:v>C03-08</x:v>
      </x:c>
      <x:c r="D23" s="138" t="str">
        <x:v>Mounting bracket / fasteners</x:v>
      </x:c>
      <x:c r="E23" s="138" t="str">
        <x:v>Installation</x:v>
      </x:c>
      <x:c r="F23" s="138" t="str">
        <x:v>Engineering suggestion</x:v>
      </x:c>
      <x:c r="G23" s="138" t="str">
        <x:v>Assess required</x:v>
      </x:c>
      <x:c r="H23" s="138"/>
      <x:c r="I23" s="138" t="str">
        <x:v>TBD by machine</x:v>
      </x:c>
      <x:c r="J23" s="139"/>
      <x:c r="K23" s="138" t="str">
        <x:v>Mounting location and vibration suitability TBD</x:v>
      </x:c>
      <x:c r="L23" s="138" t="str">
        <x:v>To be defined for project</x:v>
      </x:c>
      <x:c r="M23" s="138" t="str">
        <x:v>Requires PM/FAE design</x:v>
      </x:c>
      <x:c r="N23" s="138" t="str">
        <x:v>TBD; no approval implied</x:v>
      </x:c>
      <x:c r="O23" s="227" t="str">
        <x:v>Project reference ONLY; exact orderable kit/compatibility not signed off</x:v>
      </x:c>
      <x:c r="P23" s="138" t="str">
        <x:v>Product / FAE</x:v>
      </x:c>
      <x:c r="Q23" s="138"/>
      <x:c r="R23" s="138"/>
    </x:row>
    <x:row r="24" ht="55" customHeight="1">
      <x:c r="A24" s="136" t="str">
        <x:v>C03-9</x:v>
      </x:c>
      <x:c r="B24" s="136" t="str">
        <x:v>C03</x:v>
      </x:c>
      <x:c r="C24" s="136" t="str">
        <x:v>C03-09</x:v>
      </x:c>
      <x:c r="D24" s="136" t="str">
        <x:v>CA51</x:v>
      </x:c>
      <x:c r="E24" s="136" t="str">
        <x:v>Project reference</x:v>
      </x:c>
      <x:c r="F24" s="136" t="str">
        <x:v>Canonical C01–C11 composition</x:v>
      </x:c>
      <x:c r="G24" s="136" t="str">
        <x:v>Subject to per-project product/FAE confirmation</x:v>
      </x:c>
      <x:c r="H24" s="136"/>
      <x:c r="I24" s="136" t="str">
        <x:v>Quantity TBD</x:v>
      </x:c>
      <x:c r="J24" s="137" t="str"/>
      <x:c r="K24" s="136" t="str">
        <x:v>Exact hardware SKU and bundle are NOT approved</x:v>
      </x:c>
      <x:c r="L24" s="136" t="str">
        <x:v>Project design only</x:v>
      </x:c>
      <x:c r="M24" s="136" t="str">
        <x:v>Project-specific connector/power</x:v>
      </x:c>
      <x:c r="N24" s="136" t="str">
        <x:v>No blanket certification</x:v>
      </x:c>
      <x:c r="O24" s="227" t="str">
        <x:v>Project reference—no release</x:v>
      </x:c>
      <x:c r="P24" s="136" t="str">
        <x:v>Product / FAE</x:v>
      </x:c>
      <x:c r="Q24" s="136" t="str">
        <x:v>Named in authoritative C01–C11 reference; not an orderable standalone SKU</x:v>
      </x:c>
      <x:c r="R24" s="136" t="str"/>
    </x:row>
    <x:row r="25" ht="55" customHeight="1">
      <x:c r="A25" s="138" t="str">
        <x:v>C03-10</x:v>
      </x:c>
      <x:c r="B25" s="138" t="str">
        <x:v>C03</x:v>
      </x:c>
      <x:c r="C25" s="138" t="str">
        <x:v>C03-10</x:v>
      </x:c>
      <x:c r="D25" s="138" t="str">
        <x:v>B3A</x:v>
      </x:c>
      <x:c r="E25" s="138" t="str">
        <x:v>Project reference</x:v>
      </x:c>
      <x:c r="F25" s="138" t="str">
        <x:v>Canonical C01–C11 composition</x:v>
      </x:c>
      <x:c r="G25" s="138" t="str">
        <x:v>Subject to per-project product/FAE confirmation</x:v>
      </x:c>
      <x:c r="H25" s="138"/>
      <x:c r="I25" s="138" t="str">
        <x:v>Quantity TBD</x:v>
      </x:c>
      <x:c r="J25" s="139" t="str"/>
      <x:c r="K25" s="138" t="str">
        <x:v>Exact hardware SKU and bundle are NOT approved</x:v>
      </x:c>
      <x:c r="L25" s="138" t="str">
        <x:v>Project design only</x:v>
      </x:c>
      <x:c r="M25" s="138" t="str">
        <x:v>Project-specific connector/power</x:v>
      </x:c>
      <x:c r="N25" s="138" t="str">
        <x:v>No blanket certification</x:v>
      </x:c>
      <x:c r="O25" s="227" t="str">
        <x:v>Project reference—no release</x:v>
      </x:c>
      <x:c r="P25" s="138" t="str">
        <x:v>Product / FAE</x:v>
      </x:c>
      <x:c r="Q25" s="138" t="str">
        <x:v>Named in authoritative C01–C11 reference; not an orderable standalone SKU</x:v>
      </x:c>
      <x:c r="R25" s="138" t="str"/>
    </x:row>
    <x:row r="26" ht="55" customHeight="1">
      <x:c r="A26" s="136" t="str">
        <x:v>C04-1</x:v>
      </x:c>
      <x:c r="B26" s="136" t="str">
        <x:v>C04</x:v>
      </x:c>
      <x:c r="C26" s="136" t="str">
        <x:v>C04-01</x:v>
      </x:c>
      <x:c r="D26" s="136" t="str">
        <x:v>AI-AVM / 360° camera set</x:v>
      </x:c>
      <x:c r="E26" s="136" t="str">
        <x:v>Camera / sensor</x:v>
      </x:c>
      <x:c r="F26" s="136" t="str">
        <x:v>Source named</x:v>
      </x:c>
      <x:c r="G26" s="136" t="str">
        <x:v>Required for selected route</x:v>
      </x:c>
      <x:c r="H26" s="136"/>
      <x:c r="I26" s="136" t="str">
        <x:v>Quantity TBD</x:v>
      </x:c>
      <x:c r="J26" s="137"/>
      <x:c r="K26" s="136" t="str">
        <x:v>Mounting, lens, coverage and exact SKU TBD</x:v>
      </x:c>
      <x:c r="L26" s="136" t="str">
        <x:v>To be defined for project</x:v>
      </x:c>
      <x:c r="M26" s="136" t="str">
        <x:v>Requires PM/FAE design</x:v>
      </x:c>
      <x:c r="N26" s="136" t="str">
        <x:v>TBD; no approval implied</x:v>
      </x:c>
      <x:c r="O26" s="227" t="str">
        <x:v>Project reference ONLY; exact orderable kit/compatibility not signed off</x:v>
      </x:c>
      <x:c r="P26" s="136" t="str">
        <x:v>Product / FAE</x:v>
      </x:c>
      <x:c r="Q26" s="136"/>
      <x:c r="R26" s="136"/>
    </x:row>
    <x:row r="27" ht="55" customHeight="1">
      <x:c r="A27" s="138" t="str">
        <x:v>C04-2</x:v>
      </x:c>
      <x:c r="B27" s="138" t="str">
        <x:v>C04</x:v>
      </x:c>
      <x:c r="C27" s="138" t="str">
        <x:v>C04-02</x:v>
      </x:c>
      <x:c r="D27" s="138" t="str">
        <x:v>AI-AVM processing unit</x:v>
      </x:c>
      <x:c r="E27" s="138" t="str">
        <x:v>Processing</x:v>
      </x:c>
      <x:c r="F27" s="138" t="str">
        <x:v>Engineering suggestion</x:v>
      </x:c>
      <x:c r="G27" s="138" t="str">
        <x:v>Assess required</x:v>
      </x:c>
      <x:c r="H27" s="138"/>
      <x:c r="I27" s="138" t="str">
        <x:v>Architecture and kit contents TBD</x:v>
      </x:c>
      <x:c r="J27" s="139"/>
      <x:c r="K27" s="138" t="str">
        <x:v>Processor model, camera count and features TBD</x:v>
      </x:c>
      <x:c r="L27" s="138" t="str">
        <x:v>To be defined for project</x:v>
      </x:c>
      <x:c r="M27" s="138" t="str">
        <x:v>Requires PM/FAE design</x:v>
      </x:c>
      <x:c r="N27" s="138" t="str">
        <x:v>TBD; no approval implied</x:v>
      </x:c>
      <x:c r="O27" s="227" t="str">
        <x:v>Project reference ONLY; exact orderable kit/compatibility not signed off</x:v>
      </x:c>
      <x:c r="P27" s="138" t="str">
        <x:v>Product / FAE</x:v>
      </x:c>
      <x:c r="Q27" s="138"/>
      <x:c r="R27" s="138"/>
    </x:row>
    <x:row r="28" ht="55" customHeight="1">
      <x:c r="A28" s="136" t="str">
        <x:v>C04-3</x:v>
      </x:c>
      <x:c r="B28" s="136" t="str">
        <x:v>C04</x:v>
      </x:c>
      <x:c r="C28" s="136" t="str">
        <x:v>C04-03</x:v>
      </x:c>
      <x:c r="D28" s="136" t="str">
        <x:v>Display</x:v>
      </x:c>
      <x:c r="E28" s="136" t="str">
        <x:v>HMI</x:v>
      </x:c>
      <x:c r="F28" s="136" t="str">
        <x:v>Engineering suggestion</x:v>
      </x:c>
      <x:c r="G28" s="136" t="str">
        <x:v>Assess required</x:v>
      </x:c>
      <x:c r="H28" s="136"/>
      <x:c r="I28" s="136" t="str">
        <x:v>Architecture and kit contents TBD</x:v>
      </x:c>
      <x:c r="J28" s="137"/>
      <x:c r="K28" s="136" t="str">
        <x:v>Display interface and SKU TBD</x:v>
      </x:c>
      <x:c r="L28" s="136" t="str">
        <x:v>To be defined for project</x:v>
      </x:c>
      <x:c r="M28" s="136" t="str">
        <x:v>Requires PM/FAE design</x:v>
      </x:c>
      <x:c r="N28" s="136" t="str">
        <x:v>TBD; no approval implied</x:v>
      </x:c>
      <x:c r="O28" s="227" t="str">
        <x:v>Project reference ONLY; exact orderable kit/compatibility not signed off</x:v>
      </x:c>
      <x:c r="P28" s="136" t="str">
        <x:v>Product / FAE</x:v>
      </x:c>
      <x:c r="Q28" s="136"/>
      <x:c r="R28" s="136"/>
    </x:row>
    <x:row r="29" ht="55" customHeight="1">
      <x:c r="A29" s="138" t="str">
        <x:v>C04-4</x:v>
      </x:c>
      <x:c r="B29" s="138" t="str">
        <x:v>C04</x:v>
      </x:c>
      <x:c r="C29" s="138" t="str">
        <x:v>C04-04</x:v>
      </x:c>
      <x:c r="D29" s="138" t="str">
        <x:v>Calibration materials / service</x:v>
      </x:c>
      <x:c r="E29" s="138" t="str">
        <x:v>Commissioning</x:v>
      </x:c>
      <x:c r="F29" s="138" t="str">
        <x:v>Engineering suggestion</x:v>
      </x:c>
      <x:c r="G29" s="138" t="str">
        <x:v>Assess required</x:v>
      </x:c>
      <x:c r="H29" s="138"/>
      <x:c r="I29" s="138" t="str">
        <x:v>TBD by installation procedure</x:v>
      </x:c>
      <x:c r="J29" s="139"/>
      <x:c r="K29" s="138" t="str">
        <x:v>Calibration process and kit TBD</x:v>
      </x:c>
      <x:c r="L29" s="138" t="str">
        <x:v>To be defined for project</x:v>
      </x:c>
      <x:c r="M29" s="138" t="str">
        <x:v>Requires PM/FAE design</x:v>
      </x:c>
      <x:c r="N29" s="138" t="str">
        <x:v>TBD; no approval implied</x:v>
      </x:c>
      <x:c r="O29" s="227" t="str">
        <x:v>Project reference ONLY; exact orderable kit/compatibility not signed off</x:v>
      </x:c>
      <x:c r="P29" s="138" t="str">
        <x:v>Product / FAE</x:v>
      </x:c>
      <x:c r="Q29" s="138"/>
      <x:c r="R29" s="138"/>
    </x:row>
    <x:row r="30" ht="55" customHeight="1">
      <x:c r="A30" s="136" t="str">
        <x:v>C04-5</x:v>
      </x:c>
      <x:c r="B30" s="136" t="str">
        <x:v>C04</x:v>
      </x:c>
      <x:c r="C30" s="136" t="str">
        <x:v>C04-05</x:v>
      </x:c>
      <x:c r="D30" s="136" t="str">
        <x:v>Power harness / protection</x:v>
      </x:c>
      <x:c r="E30" s="136" t="str">
        <x:v>Power</x:v>
      </x:c>
      <x:c r="F30" s="136" t="str">
        <x:v>Engineering suggestion</x:v>
      </x:c>
      <x:c r="G30" s="136" t="str">
        <x:v>Assess required</x:v>
      </x:c>
      <x:c r="H30" s="136"/>
      <x:c r="I30" s="136" t="str">
        <x:v>TBD by vehicle</x:v>
      </x:c>
      <x:c r="J30" s="137"/>
      <x:c r="K30" s="136" t="str">
        <x:v>Voltage range, fuse, ignition and grounding TBD</x:v>
      </x:c>
      <x:c r="L30" s="136" t="str">
        <x:v>To be defined for project</x:v>
      </x:c>
      <x:c r="M30" s="136" t="str">
        <x:v>Requires PM/FAE design</x:v>
      </x:c>
      <x:c r="N30" s="136" t="str">
        <x:v>TBD; no approval implied</x:v>
      </x:c>
      <x:c r="O30" s="227" t="str">
        <x:v>Project reference ONLY; exact orderable kit/compatibility not signed off</x:v>
      </x:c>
      <x:c r="P30" s="136" t="str">
        <x:v>Product / FAE</x:v>
      </x:c>
      <x:c r="Q30" s="136"/>
      <x:c r="R30" s="136"/>
    </x:row>
    <x:row r="31" ht="55" customHeight="1">
      <x:c r="A31" s="138" t="str">
        <x:v>C04-6</x:v>
      </x:c>
      <x:c r="B31" s="138" t="str">
        <x:v>C04</x:v>
      </x:c>
      <x:c r="C31" s="138" t="str">
        <x:v>C04-06</x:v>
      </x:c>
      <x:c r="D31" s="138" t="str">
        <x:v>Video / data / extension harness</x:v>
      </x:c>
      <x:c r="E31" s="138" t="str">
        <x:v>Wiring</x:v>
      </x:c>
      <x:c r="F31" s="138" t="str">
        <x:v>Engineering suggestion</x:v>
      </x:c>
      <x:c r="G31" s="138" t="str">
        <x:v>Assess required</x:v>
      </x:c>
      <x:c r="H31" s="138"/>
      <x:c r="I31" s="138" t="str">
        <x:v>TBD by layout</x:v>
      </x:c>
      <x:c r="J31" s="139"/>
      <x:c r="K31" s="138" t="str">
        <x:v>Connector, length, pinout and routing TBD</x:v>
      </x:c>
      <x:c r="L31" s="138" t="str">
        <x:v>To be defined for project</x:v>
      </x:c>
      <x:c r="M31" s="138" t="str">
        <x:v>Requires PM/FAE design</x:v>
      </x:c>
      <x:c r="N31" s="138" t="str">
        <x:v>TBD; no approval implied</x:v>
      </x:c>
      <x:c r="O31" s="227" t="str">
        <x:v>Project reference ONLY; exact orderable kit/compatibility not signed off</x:v>
      </x:c>
      <x:c r="P31" s="138" t="str">
        <x:v>Product / FAE</x:v>
      </x:c>
      <x:c r="Q31" s="138"/>
      <x:c r="R31" s="138"/>
    </x:row>
    <x:row r="32" ht="55" customHeight="1">
      <x:c r="A32" s="136" t="str">
        <x:v>C04-7</x:v>
      </x:c>
      <x:c r="B32" s="136" t="str">
        <x:v>C04</x:v>
      </x:c>
      <x:c r="C32" s="136" t="str">
        <x:v>C04-07</x:v>
      </x:c>
      <x:c r="D32" s="136" t="str">
        <x:v>Mounting bracket / fasteners</x:v>
      </x:c>
      <x:c r="E32" s="136" t="str">
        <x:v>Installation</x:v>
      </x:c>
      <x:c r="F32" s="136" t="str">
        <x:v>Engineering suggestion</x:v>
      </x:c>
      <x:c r="G32" s="136" t="str">
        <x:v>Assess required</x:v>
      </x:c>
      <x:c r="H32" s="136"/>
      <x:c r="I32" s="136" t="str">
        <x:v>TBD by machine</x:v>
      </x:c>
      <x:c r="J32" s="137"/>
      <x:c r="K32" s="136" t="str">
        <x:v>Mounting location and vibration suitability TBD</x:v>
      </x:c>
      <x:c r="L32" s="136" t="str">
        <x:v>To be defined for project</x:v>
      </x:c>
      <x:c r="M32" s="136" t="str">
        <x:v>Requires PM/FAE design</x:v>
      </x:c>
      <x:c r="N32" s="136" t="str">
        <x:v>TBD; no approval implied</x:v>
      </x:c>
      <x:c r="O32" s="227" t="str">
        <x:v>Project reference ONLY; exact orderable kit/compatibility not signed off</x:v>
      </x:c>
      <x:c r="P32" s="136" t="str">
        <x:v>Product / FAE</x:v>
      </x:c>
      <x:c r="Q32" s="136"/>
      <x:c r="R32" s="136"/>
    </x:row>
    <x:row r="33" ht="55" customHeight="1">
      <x:c r="A33" s="138" t="str">
        <x:v>C04-8</x:v>
      </x:c>
      <x:c r="B33" s="138" t="str">
        <x:v>C04</x:v>
      </x:c>
      <x:c r="C33" s="138" t="str">
        <x:v>C04-08</x:v>
      </x:c>
      <x:c r="D33" s="138" t="str">
        <x:v>CA51</x:v>
      </x:c>
      <x:c r="E33" s="138" t="str">
        <x:v>Project reference</x:v>
      </x:c>
      <x:c r="F33" s="138" t="str">
        <x:v>Canonical C01–C11 composition</x:v>
      </x:c>
      <x:c r="G33" s="138" t="str">
        <x:v>Subject to per-project product/FAE confirmation</x:v>
      </x:c>
      <x:c r="H33" s="138"/>
      <x:c r="I33" s="138" t="str">
        <x:v>Quantity TBD</x:v>
      </x:c>
      <x:c r="J33" s="139" t="str"/>
      <x:c r="K33" s="138" t="str">
        <x:v>Exact hardware SKU and bundle are NOT approved</x:v>
      </x:c>
      <x:c r="L33" s="138" t="str">
        <x:v>Project design only</x:v>
      </x:c>
      <x:c r="M33" s="138" t="str">
        <x:v>Project-specific connector/power</x:v>
      </x:c>
      <x:c r="N33" s="138" t="str">
        <x:v>No blanket certification</x:v>
      </x:c>
      <x:c r="O33" s="227" t="str">
        <x:v>Project reference—no release</x:v>
      </x:c>
      <x:c r="P33" s="138" t="str">
        <x:v>Product / FAE</x:v>
      </x:c>
      <x:c r="Q33" s="138" t="str">
        <x:v>Named in authoritative C01–C11 reference; not an orderable standalone SKU</x:v>
      </x:c>
      <x:c r="R33" s="138" t="str"/>
    </x:row>
    <x:row r="34" ht="55" customHeight="1">
      <x:c r="A34" s="136" t="str">
        <x:v>C05-1</x:v>
      </x:c>
      <x:c r="B34" s="136" t="str">
        <x:v>C05</x:v>
      </x:c>
      <x:c r="C34" s="136" t="str">
        <x:v>C05-01</x:v>
      </x:c>
      <x:c r="D34" s="136" t="str">
        <x:v>CM31 / CMS camera system</x:v>
      </x:c>
      <x:c r="E34" s="136" t="str">
        <x:v>Camera / sensor</x:v>
      </x:c>
      <x:c r="F34" s="136" t="str">
        <x:v>Source named</x:v>
      </x:c>
      <x:c r="G34" s="136" t="str">
        <x:v>Required for selected route</x:v>
      </x:c>
      <x:c r="H34" s="136"/>
      <x:c r="I34" s="136" t="str">
        <x:v>Quantity TBD</x:v>
      </x:c>
      <x:c r="J34" s="137"/>
      <x:c r="K34" s="136" t="str">
        <x:v>Mounting, lens, coverage and exact SKU TBD</x:v>
      </x:c>
      <x:c r="L34" s="136" t="str">
        <x:v>To be defined for project</x:v>
      </x:c>
      <x:c r="M34" s="136" t="str">
        <x:v>Requires PM/FAE design</x:v>
      </x:c>
      <x:c r="N34" s="136" t="str">
        <x:v>TBD; no approval implied</x:v>
      </x:c>
      <x:c r="O34" s="227" t="str">
        <x:v>Project reference ONLY; exact orderable kit/compatibility not signed off</x:v>
      </x:c>
      <x:c r="P34" s="136" t="str">
        <x:v>Product / FAE</x:v>
      </x:c>
      <x:c r="Q34" s="136"/>
      <x:c r="R34" s="136"/>
    </x:row>
    <x:row r="35" ht="55" customHeight="1">
      <x:c r="A35" s="138" t="str">
        <x:v>C05-2</x:v>
      </x:c>
      <x:c r="B35" s="138" t="str">
        <x:v>C05</x:v>
      </x:c>
      <x:c r="C35" s="138" t="str">
        <x:v>C05-02</x:v>
      </x:c>
      <x:c r="D35" s="138" t="str">
        <x:v>CMS display(s)</x:v>
      </x:c>
      <x:c r="E35" s="138" t="str">
        <x:v>HMI</x:v>
      </x:c>
      <x:c r="F35" s="138" t="str">
        <x:v>Engineering suggestion</x:v>
      </x:c>
      <x:c r="G35" s="138" t="str">
        <x:v>Assess required</x:v>
      </x:c>
      <x:c r="H35" s="138"/>
      <x:c r="I35" s="138" t="str">
        <x:v>System design and kit contents TBD</x:v>
      </x:c>
      <x:c r="J35" s="139"/>
      <x:c r="K35" s="138" t="str">
        <x:v>Display count, location and interfaces TBD</x:v>
      </x:c>
      <x:c r="L35" s="138" t="str">
        <x:v>To be defined for project</x:v>
      </x:c>
      <x:c r="M35" s="138" t="str">
        <x:v>Requires PM/FAE design</x:v>
      </x:c>
      <x:c r="N35" s="138" t="str">
        <x:v>TBD; no approval implied</x:v>
      </x:c>
      <x:c r="O35" s="227" t="str">
        <x:v>Project reference ONLY; exact orderable kit/compatibility not signed off</x:v>
      </x:c>
      <x:c r="P35" s="138" t="str">
        <x:v>Product / FAE</x:v>
      </x:c>
      <x:c r="Q35" s="138"/>
      <x:c r="R35" s="138"/>
    </x:row>
    <x:row r="36" ht="55" customHeight="1">
      <x:c r="A36" s="136" t="str">
        <x:v>C05-3</x:v>
      </x:c>
      <x:c r="B36" s="136" t="str">
        <x:v>C05</x:v>
      </x:c>
      <x:c r="C36" s="136" t="str">
        <x:v>C05-03</x:v>
      </x:c>
      <x:c r="D36" s="136" t="str">
        <x:v>OEM integration / mounting kit</x:v>
      </x:c>
      <x:c r="E36" s="136" t="str">
        <x:v>Integration</x:v>
      </x:c>
      <x:c r="F36" s="136" t="str">
        <x:v>Engineering suggestion</x:v>
      </x:c>
      <x:c r="G36" s="136" t="str">
        <x:v>Assess required</x:v>
      </x:c>
      <x:c r="H36" s="136"/>
      <x:c r="I36" s="136" t="str">
        <x:v>TBD by OEM design</x:v>
      </x:c>
      <x:c r="J36" s="137"/>
      <x:c r="K36" s="136" t="str">
        <x:v>Vehicle interface, mounting and approvals TBD</x:v>
      </x:c>
      <x:c r="L36" s="136" t="str">
        <x:v>To be defined for project</x:v>
      </x:c>
      <x:c r="M36" s="136" t="str">
        <x:v>Requires PM/FAE design</x:v>
      </x:c>
      <x:c r="N36" s="136" t="str">
        <x:v>TBD; no approval implied</x:v>
      </x:c>
      <x:c r="O36" s="227" t="str">
        <x:v>Project reference ONLY; exact orderable kit/compatibility not signed off</x:v>
      </x:c>
      <x:c r="P36" s="136" t="str">
        <x:v>Product / FAE</x:v>
      </x:c>
      <x:c r="Q36" s="136"/>
      <x:c r="R36" s="136"/>
    </x:row>
    <x:row r="37" ht="55" customHeight="1">
      <x:c r="A37" s="138" t="str">
        <x:v>C05-4</x:v>
      </x:c>
      <x:c r="B37" s="138" t="str">
        <x:v>C05</x:v>
      </x:c>
      <x:c r="C37" s="138" t="str">
        <x:v>C05-04</x:v>
      </x:c>
      <x:c r="D37" s="138" t="str">
        <x:v>Power harness / protection</x:v>
      </x:c>
      <x:c r="E37" s="138" t="str">
        <x:v>Power</x:v>
      </x:c>
      <x:c r="F37" s="138" t="str">
        <x:v>Engineering suggestion</x:v>
      </x:c>
      <x:c r="G37" s="138" t="str">
        <x:v>Assess required</x:v>
      </x:c>
      <x:c r="H37" s="138"/>
      <x:c r="I37" s="138" t="str">
        <x:v>TBD by vehicle</x:v>
      </x:c>
      <x:c r="J37" s="139"/>
      <x:c r="K37" s="138" t="str">
        <x:v>Voltage range, fuse, ignition and grounding TBD</x:v>
      </x:c>
      <x:c r="L37" s="138" t="str">
        <x:v>To be defined for project</x:v>
      </x:c>
      <x:c r="M37" s="138" t="str">
        <x:v>Requires PM/FAE design</x:v>
      </x:c>
      <x:c r="N37" s="138" t="str">
        <x:v>TBD; no approval implied</x:v>
      </x:c>
      <x:c r="O37" s="227" t="str">
        <x:v>Project reference ONLY; exact orderable kit/compatibility not signed off</x:v>
      </x:c>
      <x:c r="P37" s="138" t="str">
        <x:v>Product / FAE</x:v>
      </x:c>
      <x:c r="Q37" s="138"/>
      <x:c r="R37" s="138"/>
    </x:row>
    <x:row r="38" ht="55" customHeight="1">
      <x:c r="A38" s="136" t="str">
        <x:v>C05-5</x:v>
      </x:c>
      <x:c r="B38" s="136" t="str">
        <x:v>C05</x:v>
      </x:c>
      <x:c r="C38" s="136" t="str">
        <x:v>C05-05</x:v>
      </x:c>
      <x:c r="D38" s="136" t="str">
        <x:v>Video / data / extension harness</x:v>
      </x:c>
      <x:c r="E38" s="136" t="str">
        <x:v>Wiring</x:v>
      </x:c>
      <x:c r="F38" s="136" t="str">
        <x:v>Engineering suggestion</x:v>
      </x:c>
      <x:c r="G38" s="136" t="str">
        <x:v>Assess required</x:v>
      </x:c>
      <x:c r="H38" s="136"/>
      <x:c r="I38" s="136" t="str">
        <x:v>TBD by layout</x:v>
      </x:c>
      <x:c r="J38" s="137"/>
      <x:c r="K38" s="136" t="str">
        <x:v>Connector, length, pinout and routing TBD</x:v>
      </x:c>
      <x:c r="L38" s="136" t="str">
        <x:v>To be defined for project</x:v>
      </x:c>
      <x:c r="M38" s="136" t="str">
        <x:v>Requires PM/FAE design</x:v>
      </x:c>
      <x:c r="N38" s="136" t="str">
        <x:v>TBD; no approval implied</x:v>
      </x:c>
      <x:c r="O38" s="227" t="str">
        <x:v>Project reference ONLY; exact orderable kit/compatibility not signed off</x:v>
      </x:c>
      <x:c r="P38" s="136" t="str">
        <x:v>Product / FAE</x:v>
      </x:c>
      <x:c r="Q38" s="136"/>
      <x:c r="R38" s="136"/>
    </x:row>
    <x:row r="39" ht="55" customHeight="1">
      <x:c r="A39" s="138" t="str">
        <x:v>C05-6</x:v>
      </x:c>
      <x:c r="B39" s="138" t="str">
        <x:v>C05</x:v>
      </x:c>
      <x:c r="C39" s="138" t="str">
        <x:v>C05-06</x:v>
      </x:c>
      <x:c r="D39" s="138" t="str">
        <x:v>Mounting bracket / fasteners</x:v>
      </x:c>
      <x:c r="E39" s="138" t="str">
        <x:v>Installation</x:v>
      </x:c>
      <x:c r="F39" s="138" t="str">
        <x:v>Engineering suggestion</x:v>
      </x:c>
      <x:c r="G39" s="138" t="str">
        <x:v>Assess required</x:v>
      </x:c>
      <x:c r="H39" s="138"/>
      <x:c r="I39" s="138" t="str">
        <x:v>TBD by machine</x:v>
      </x:c>
      <x:c r="J39" s="139"/>
      <x:c r="K39" s="138" t="str">
        <x:v>Mounting location and vibration suitability TBD</x:v>
      </x:c>
      <x:c r="L39" s="138" t="str">
        <x:v>To be defined for project</x:v>
      </x:c>
      <x:c r="M39" s="138" t="str">
        <x:v>Requires PM/FAE design</x:v>
      </x:c>
      <x:c r="N39" s="138" t="str">
        <x:v>TBD; no approval implied</x:v>
      </x:c>
      <x:c r="O39" s="227" t="str">
        <x:v>Project reference ONLY; exact orderable kit/compatibility not signed off</x:v>
      </x:c>
      <x:c r="P39" s="138" t="str">
        <x:v>Product / FAE</x:v>
      </x:c>
      <x:c r="Q39" s="138"/>
      <x:c r="R39" s="138"/>
    </x:row>
    <x:row r="40" ht="55" customHeight="1">
      <x:c r="A40" s="136" t="str">
        <x:v>C05-7</x:v>
      </x:c>
      <x:c r="B40" s="136" t="str">
        <x:v>C05</x:v>
      </x:c>
      <x:c r="C40" s="136" t="str">
        <x:v>C05-07</x:v>
      </x:c>
      <x:c r="D40" s="136" t="str">
        <x:v>C53</x:v>
      </x:c>
      <x:c r="E40" s="136" t="str">
        <x:v>Project reference</x:v>
      </x:c>
      <x:c r="F40" s="136" t="str">
        <x:v>Canonical C01–C11 composition</x:v>
      </x:c>
      <x:c r="G40" s="136" t="str">
        <x:v>Subject to per-project product/FAE confirmation</x:v>
      </x:c>
      <x:c r="H40" s="136"/>
      <x:c r="I40" s="136" t="str">
        <x:v>Quantity TBD</x:v>
      </x:c>
      <x:c r="J40" s="137" t="str"/>
      <x:c r="K40" s="136" t="str">
        <x:v>Exact hardware SKU and bundle are NOT approved</x:v>
      </x:c>
      <x:c r="L40" s="136" t="str">
        <x:v>Project design only</x:v>
      </x:c>
      <x:c r="M40" s="136" t="str">
        <x:v>Project-specific connector/power</x:v>
      </x:c>
      <x:c r="N40" s="136" t="str">
        <x:v>No blanket certification</x:v>
      </x:c>
      <x:c r="O40" s="227" t="str">
        <x:v>Project reference—no release</x:v>
      </x:c>
      <x:c r="P40" s="136" t="str">
        <x:v>Product / FAE</x:v>
      </x:c>
      <x:c r="Q40" s="136" t="str">
        <x:v>Named in authoritative C01–C11 reference; not an orderable standalone SKU</x:v>
      </x:c>
      <x:c r="R40" s="136" t="str"/>
    </x:row>
    <x:row r="41" ht="55" customHeight="1">
      <x:c r="A41" s="138" t="str">
        <x:v>C05-8</x:v>
      </x:c>
      <x:c r="B41" s="138" t="str">
        <x:v>C05</x:v>
      </x:c>
      <x:c r="C41" s="138" t="str">
        <x:v>C05-08</x:v>
      </x:c>
      <x:c r="D41" s="138" t="str">
        <x:v>DP12S</x:v>
      </x:c>
      <x:c r="E41" s="138" t="str">
        <x:v>Project reference</x:v>
      </x:c>
      <x:c r="F41" s="138" t="str">
        <x:v>Canonical C01–C11 composition</x:v>
      </x:c>
      <x:c r="G41" s="138" t="str">
        <x:v>Subject to per-project product/FAE confirmation</x:v>
      </x:c>
      <x:c r="H41" s="138"/>
      <x:c r="I41" s="138" t="str">
        <x:v>Quantity TBD</x:v>
      </x:c>
      <x:c r="J41" s="139" t="str"/>
      <x:c r="K41" s="138" t="str">
        <x:v>Exact hardware SKU and bundle are NOT approved</x:v>
      </x:c>
      <x:c r="L41" s="138" t="str">
        <x:v>Project design only</x:v>
      </x:c>
      <x:c r="M41" s="138" t="str">
        <x:v>Project-specific connector/power</x:v>
      </x:c>
      <x:c r="N41" s="138" t="str">
        <x:v>No blanket certification</x:v>
      </x:c>
      <x:c r="O41" s="227" t="str">
        <x:v>Project reference—no release</x:v>
      </x:c>
      <x:c r="P41" s="138" t="str">
        <x:v>Product / FAE</x:v>
      </x:c>
      <x:c r="Q41" s="138" t="str">
        <x:v>Named in authoritative C01–C11 reference; not an orderable standalone SKU</x:v>
      </x:c>
      <x:c r="R41" s="138" t="str"/>
    </x:row>
    <x:row r="42" ht="55" customHeight="1">
      <x:c r="A42" s="136" t="str">
        <x:v>C06-1</x:v>
      </x:c>
      <x:c r="B42" s="136" t="str">
        <x:v>C06</x:v>
      </x:c>
      <x:c r="C42" s="136" t="str">
        <x:v>C06-01</x:v>
      </x:c>
      <x:c r="D42" s="136" t="str">
        <x:v>M3N H0404 North America kit</x:v>
      </x:c>
      <x:c r="E42" s="136" t="str">
        <x:v>Host</x:v>
      </x:c>
      <x:c r="F42" s="136" t="str">
        <x:v>User confirmed 2026-10-22</x:v>
      </x:c>
      <x:c r="G42" s="136" t="str">
        <x:v>1 host kit / vehicle</x:v>
      </x:c>
      <x:c r="H42" s="136" t="n">
        <x:v>1</x:v>
      </x:c>
      <x:c r="I42" s="136" t="str">
        <x:v>Per vehicle</x:v>
      </x:c>
      <x:c r="J42" s="137" t="str">
        <x:v>5120121100005</x:v>
      </x:c>
      <x:c r="K42" s="136" t="str">
        <x:v>H0404 includes HDD enclosure, not HDD/SSD; 20-pin included</x:v>
      </x:c>
      <x:c r="L42" s="136" t="str">
        <x:v>Order kit</x:v>
      </x:c>
      <x:c r="M42" s="136" t="str">
        <x:v>Match vehicle layout; see 03 for interface verification</x:v>
      </x:c>
      <x:c r="N42" s="136" t="str">
        <x:v>Regional claims require compliance evidence</x:v>
      </x:c>
      <x:c r="O42" s="136" t="str">
        <x:v>SKU/configuration per user reference; formal QA evidence tracked separately in 03</x:v>
      </x:c>
      <x:c r="P42" s="136" t="str">
        <x:v>Product / FAE</x:v>
      </x:c>
      <x:c r="Q42" s="136" t="str">
        <x:v>Not a customer-ready kit until secondary BOM check</x:v>
      </x:c>
      <x:c r="R42" s="136"/>
    </x:row>
    <x:row r="43" ht="55" customHeight="1">
      <x:c r="A43" s="138" t="str">
        <x:v>C06-2</x:v>
      </x:c>
      <x:c r="B43" s="138" t="str">
        <x:v>C06</x:v>
      </x:c>
      <x:c r="C43" s="138" t="str">
        <x:v>C06-02</x:v>
      </x:c>
      <x:c r="D43" s="138" t="str">
        <x:v>C46 IPC / RS765-6</x:v>
      </x:c>
      <x:c r="E43" s="138" t="str">
        <x:v>Camera</x:v>
      </x:c>
      <x:c r="F43" s="138" t="str">
        <x:v>User confirmed 2026-10-22</x:v>
      </x:c>
      <x:c r="G43" s="138" t="str">
        <x:v>4 cameras per vehicle</x:v>
      </x:c>
      <x:c r="H43" s="138" t="n">
        <x:v>4</x:v>
      </x:c>
      <x:c r="I43" s="138" t="str">
        <x:v>Per vehicle</x:v>
      </x:c>
      <x:c r="J43" s="139" t="str">
        <x:v>5152178100023</x:v>
      </x:c>
      <x:c r="K43" s="138" t="str">
        <x:v>Standard mount and screws included. Camera RS765-6 output is NOT waterproof.</x:v>
      </x:c>
      <x:c r="L43" s="138" t="str">
        <x:v>Separate order</x:v>
      </x:c>
      <x:c r="M43" s="138" t="str">
        <x:v>Match vehicle layout; see 03 for interface verification</x:v>
      </x:c>
      <x:c r="N43" s="138" t="str">
        <x:v>Regional claims require compliance evidence</x:v>
      </x:c>
      <x:c r="O43" s="138" t="str">
        <x:v>SKU/configuration per user reference; formal QA evidence tracked separately in 03</x:v>
      </x:c>
      <x:c r="P43" s="138" t="str">
        <x:v>Product / FAE</x:v>
      </x:c>
      <x:c r="Q43" s="138" t="str">
        <x:v>Not a customer-ready kit until secondary BOM check</x:v>
      </x:c>
      <x:c r="R43" s="138"/>
    </x:row>
    <x:row r="44" ht="55" customHeight="1">
      <x:c r="A44" s="136" t="str">
        <x:v>C06-3</x:v>
      </x:c>
      <x:c r="B44" s="136" t="str">
        <x:v>C06</x:v>
      </x:c>
      <x:c r="C44" s="136" t="str">
        <x:v>C06-03</x:v>
      </x:c>
      <x:c r="D44" s="136" t="str">
        <x:v>Camera extension 7m EN — reference length</x:v>
      </x:c>
      <x:c r="E44" s="136" t="str">
        <x:v>Cable</x:v>
      </x:c>
      <x:c r="F44" s="136" t="str">
        <x:v>User confirmed 2026-10-22</x:v>
      </x:c>
      <x:c r="G44" s="136" t="str">
        <x:v>Sample length ONLY; select 3/5/7/11/15m based on actual camera run; not automatically 7m</x:v>
      </x:c>
      <x:c r="H44" s="136"/>
      <x:c r="I44" s="136" t="str">
        <x:v>By site / solution</x:v>
      </x:c>
      <x:c r="J44" s="137" t="str">
        <x:v>1260010000353</x:v>
      </x:c>
      <x:c r="K44" s="136" t="str">
        <x:v>Standard cable lengths 3 / 5 / 7 / 11 / 15 m; full SKUs in Camera Cable Options.</x:v>
      </x:c>
      <x:c r="L44" s="136" t="str">
        <x:v>Order if required</x:v>
      </x:c>
      <x:c r="M44" s="136" t="str">
        <x:v>Match vehicle layout; see 03 for interface verification</x:v>
      </x:c>
      <x:c r="N44" s="136" t="str">
        <x:v>Regional claims require compliance evidence</x:v>
      </x:c>
      <x:c r="O44" s="136" t="str">
        <x:v>SKU/configuration per user reference; formal QA evidence tracked separately in 03</x:v>
      </x:c>
      <x:c r="P44" s="136" t="str">
        <x:v>Product / FAE</x:v>
      </x:c>
      <x:c r="Q44" s="136" t="str">
        <x:v>Not a customer-ready kit until secondary BOM check</x:v>
      </x:c>
      <x:c r="R44" s="136"/>
    </x:row>
    <x:row r="45" ht="55" customHeight="1">
      <x:c r="A45" s="138" t="str">
        <x:v>C06-4</x:v>
      </x:c>
      <x:c r="B45" s="138" t="str">
        <x:v>C06</x:v>
      </x:c>
      <x:c r="C45" s="138" t="str">
        <x:v>C06-04</x:v>
      </x:c>
      <x:c r="D45" s="138" t="str">
        <x:v>BA5-O current M12-4 external alarm</x:v>
      </x:c>
      <x:c r="E45" s="138" t="str">
        <x:v>Alarm</x:v>
      </x:c>
      <x:c r="F45" s="138" t="str">
        <x:v>User confirmed 2026-10-22</x:v>
      </x:c>
      <x:c r="G45" s="138" t="str">
        <x:v>Standard 1/vehicle</x:v>
      </x:c>
      <x:c r="H45" s="138" t="n">
        <x:v>1</x:v>
      </x:c>
      <x:c r="I45" s="138" t="str">
        <x:v>Per vehicle</x:v>
      </x:c>
      <x:c r="J45" s="139" t="str">
        <x:v>5164003100004</x:v>
      </x:c>
      <x:c r="K45" s="138" t="str">
        <x:v>M12-4 RS485; direct standard harness connection if BA5-O is alone</x:v>
      </x:c>
      <x:c r="L45" s="138" t="str">
        <x:v>Separate order</x:v>
      </x:c>
      <x:c r="M45" s="138" t="str">
        <x:v>Match vehicle layout; see 03 for interface verification</x:v>
      </x:c>
      <x:c r="N45" s="138" t="str">
        <x:v>Regional claims require compliance evidence</x:v>
      </x:c>
      <x:c r="O45" s="138" t="str">
        <x:v>SKU/configuration per user reference; formal QA evidence tracked separately in 03</x:v>
      </x:c>
      <x:c r="P45" s="138" t="str">
        <x:v>Product / FAE</x:v>
      </x:c>
      <x:c r="Q45" s="138" t="str">
        <x:v>Not a customer-ready kit until secondary BOM check</x:v>
      </x:c>
      <x:c r="R45" s="138"/>
    </x:row>
    <x:row r="46" ht="55" customHeight="1">
      <x:c r="A46" s="136" t="str">
        <x:v>C06-5</x:v>
      </x:c>
      <x:c r="B46" s="136" t="str">
        <x:v>C06</x:v>
      </x:c>
      <x:c r="C46" s="136" t="str">
        <x:v>C06-05</x:v>
      </x:c>
      <x:c r="D46" s="136" t="str">
        <x:v>BA5-I current M12-4 directional in-cab alarm</x:v>
      </x:c>
      <x:c r="E46" s="136" t="str">
        <x:v>Alarm</x:v>
      </x:c>
      <x:c r="F46" s="136" t="str">
        <x:v>User confirmed 2026-10-22</x:v>
      </x:c>
      <x:c r="G46" s="136" t="str">
        <x:v>Strongly recommend 1/vehicle when &gt;2 monitored blind spots; optional otherwise</x:v>
      </x:c>
      <x:c r="H46" s="136" t="n">
        <x:v>1</x:v>
      </x:c>
      <x:c r="I46" s="136" t="str">
        <x:v>Per vehicle</x:v>
      </x:c>
      <x:c r="J46" s="137" t="str">
        <x:v>5164002100004</x:v>
      </x:c>
      <x:c r="K46" s="136" t="str">
        <x:v>Four-direction warning indication, 5W speaker; fixed audio</x:v>
      </x:c>
      <x:c r="L46" s="136" t="str">
        <x:v>Separate order when selected</x:v>
      </x:c>
      <x:c r="M46" s="136" t="str">
        <x:v>Match vehicle layout; see 03 for interface verification</x:v>
      </x:c>
      <x:c r="N46" s="136" t="str">
        <x:v>Regional claims require compliance evidence</x:v>
      </x:c>
      <x:c r="O46" s="136" t="str">
        <x:v>SKU/configuration per user reference; formal QA evidence tracked separately in 03</x:v>
      </x:c>
      <x:c r="P46" s="136" t="str">
        <x:v>Product / FAE</x:v>
      </x:c>
      <x:c r="Q46" s="136" t="str">
        <x:v>Not a customer-ready kit until secondary BOM check</x:v>
      </x:c>
      <x:c r="R46" s="136"/>
    </x:row>
    <x:row r="47" ht="55" customHeight="1">
      <x:c r="A47" s="138" t="str">
        <x:v>C06-6</x:v>
      </x:c>
      <x:c r="B47" s="138" t="str">
        <x:v>C06</x:v>
      </x:c>
      <x:c r="C47" s="138" t="str">
        <x:v>C06-06</x:v>
      </x:c>
      <x:c r="D47" s="138" t="str">
        <x:v>BA5-I/O dual-alarm RS485 adapter</x:v>
      </x:c>
      <x:c r="E47" s="138" t="str">
        <x:v>Cable</x:v>
      </x:c>
      <x:c r="F47" s="138" t="str">
        <x:v>User confirmed 2026-10-22</x:v>
      </x:c>
      <x:c r="G47" s="138" t="str">
        <x:v>Mandatory 1/vehicle IF BA5-I and BA5-O both fitted</x:v>
      </x:c>
      <x:c r="H47" s="138"/>
      <x:c r="I47" s="138" t="str">
        <x:v>By site / solution</x:v>
      </x:c>
      <x:c r="J47" s="139" t="str">
        <x:v>1261050100490</x:v>
      </x:c>
      <x:c r="K47" s="138" t="str">
        <x:v>No dedicated adapter when BA5-O alone</x:v>
      </x:c>
      <x:c r="L47" s="138" t="str">
        <x:v>Separate order if both alarms</x:v>
      </x:c>
      <x:c r="M47" s="138" t="str">
        <x:v>Match vehicle layout; see 03 for interface verification</x:v>
      </x:c>
      <x:c r="N47" s="138" t="str">
        <x:v>Regional claims require compliance evidence</x:v>
      </x:c>
      <x:c r="O47" s="138" t="str">
        <x:v>SKU/configuration per user reference; formal QA evidence tracked separately in 03</x:v>
      </x:c>
      <x:c r="P47" s="138" t="str">
        <x:v>Product / FAE</x:v>
      </x:c>
      <x:c r="Q47" s="138" t="str">
        <x:v>Not a customer-ready kit until secondary BOM check</x:v>
      </x:c>
      <x:c r="R47" s="138"/>
    </x:row>
    <x:row r="48" ht="55" customHeight="1">
      <x:c r="A48" s="136" t="str">
        <x:v>C06-7</x:v>
      </x:c>
      <x:c r="B48" s="136" t="str">
        <x:v>C06</x:v>
      </x:c>
      <x:c r="C48" s="136" t="str">
        <x:v>C06-07</x:v>
      </x:c>
      <x:c r="D48" s="136" t="str">
        <x:v>BA5 3m waterproof extension (also DW7P)</x:v>
      </x:c>
      <x:c r="E48" s="136" t="str">
        <x:v>Cable</x:v>
      </x:c>
      <x:c r="F48" s="136" t="str">
        <x:v>User confirmed 2026-10-22</x:v>
      </x:c>
      <x:c r="G48" s="136" t="str">
        <x:v>Only if extra 3m run required</x:v>
      </x:c>
      <x:c r="H48" s="136"/>
      <x:c r="I48" s="136" t="str">
        <x:v>By site / solution</x:v>
      </x:c>
      <x:c r="J48" s="137" t="str">
        <x:v>1260010100265</x:v>
      </x:c>
      <x:c r="K48" s="136" t="str">
        <x:v>Confirmed shared 3m M12-4 extension for current BA5-I/O and DW7P</x:v>
      </x:c>
      <x:c r="L48" s="136" t="str">
        <x:v>Separate optional order</x:v>
      </x:c>
      <x:c r="M48" s="136" t="str">
        <x:v>Match vehicle layout; see 03 for interface verification</x:v>
      </x:c>
      <x:c r="N48" s="136" t="str">
        <x:v>Regional claims require compliance evidence</x:v>
      </x:c>
      <x:c r="O48" s="136" t="str">
        <x:v>SKU/configuration per user reference; formal QA evidence tracked separately in 03</x:v>
      </x:c>
      <x:c r="P48" s="136" t="str">
        <x:v>Product / FAE</x:v>
      </x:c>
      <x:c r="Q48" s="136" t="str">
        <x:v>Not a customer-ready kit until secondary BOM check</x:v>
      </x:c>
      <x:c r="R48" s="136"/>
    </x:row>
    <x:row r="49" ht="55" customHeight="1">
      <x:c r="A49" s="138" t="str">
        <x:v>C06-8</x:v>
      </x:c>
      <x:c r="B49" s="138" t="str">
        <x:v>C06</x:v>
      </x:c>
      <x:c r="C49" s="138" t="str">
        <x:v>C06-08</x:v>
      </x:c>
      <x:c r="D49" s="138" t="str">
        <x:v>BA5 7m extension</x:v>
      </x:c>
      <x:c r="E49" s="138" t="str">
        <x:v>Cable</x:v>
      </x:c>
      <x:c r="F49" s="138" t="str">
        <x:v>User confirmed 2026-10-22</x:v>
      </x:c>
      <x:c r="G49" s="138" t="str">
        <x:v>If 7m extension needed by installation</x:v>
      </x:c>
      <x:c r="H49" s="138"/>
      <x:c r="I49" s="138" t="str">
        <x:v>By site / solution</x:v>
      </x:c>
      <x:c r="J49" s="139" t="str">
        <x:v>1260040100475</x:v>
      </x:c>
      <x:c r="K49" s="138" t="str">
        <x:v>Confirmed compatible with current BA5 M12-4 setup</x:v>
      </x:c>
      <x:c r="L49" s="138" t="str">
        <x:v>Separate optional order</x:v>
      </x:c>
      <x:c r="M49" s="138" t="str">
        <x:v>Match vehicle layout; see 03 for interface verification</x:v>
      </x:c>
      <x:c r="N49" s="138" t="str">
        <x:v>Regional claims require compliance evidence</x:v>
      </x:c>
      <x:c r="O49" s="138" t="str">
        <x:v>SKU/configuration per user reference; formal QA evidence tracked separately in 03</x:v>
      </x:c>
      <x:c r="P49" s="138" t="str">
        <x:v>Product / FAE</x:v>
      </x:c>
      <x:c r="Q49" s="138" t="str">
        <x:v>Not a customer-ready kit until secondary BOM check</x:v>
      </x:c>
      <x:c r="R49" s="138"/>
    </x:row>
    <x:row r="50" ht="55" customHeight="1">
      <x:c r="A50" s="136" t="str">
        <x:v>C06-9</x:v>
      </x:c>
      <x:c r="B50" s="136" t="str">
        <x:v>C06</x:v>
      </x:c>
      <x:c r="C50" s="136" t="str">
        <x:v>C06-09</x:v>
      </x:c>
      <x:c r="D50" s="136" t="str">
        <x:v>DP7S with logo — nonwaterproof display</x:v>
      </x:c>
      <x:c r="E50" s="136" t="str">
        <x:v>Display</x:v>
      </x:c>
      <x:c r="F50" s="136" t="str">
        <x:v>User confirmed 2026-10-22</x:v>
      </x:c>
      <x:c r="G50" s="136" t="str">
        <x:v>Display alternative: DP7S only when waterproofing not required; no-logo variant also available</x:v>
      </x:c>
      <x:c r="H50" s="136"/>
      <x:c r="I50" s="136" t="str">
        <x:v>By site / solution</x:v>
      </x:c>
      <x:c r="J50" s="137" t="str">
        <x:v>5146026100001</x:v>
      </x:c>
      <x:c r="K50" s="136" t="str">
        <x:v>Powered by MDVR; alternative DW7P when waterproofing required</x:v>
      </x:c>
      <x:c r="L50" s="136" t="str">
        <x:v>Display alternative</x:v>
      </x:c>
      <x:c r="M50" s="136" t="str">
        <x:v>Match vehicle layout; see 03 for interface verification</x:v>
      </x:c>
      <x:c r="N50" s="136" t="str">
        <x:v>Regional claims require compliance evidence</x:v>
      </x:c>
      <x:c r="O50" s="136" t="str">
        <x:v>SKU/configuration per user reference; formal QA evidence tracked separately in 03</x:v>
      </x:c>
      <x:c r="P50" s="136" t="str">
        <x:v>Product / FAE</x:v>
      </x:c>
      <x:c r="Q50" s="136" t="str">
        <x:v>Not a customer-ready kit until secondary BOM check</x:v>
      </x:c>
      <x:c r="R50" s="136"/>
    </x:row>
    <x:row r="51" ht="55" customHeight="1">
      <x:c r="A51" s="138" t="str">
        <x:v>C06-10</x:v>
      </x:c>
      <x:c r="B51" s="138" t="str">
        <x:v>C06</x:v>
      </x:c>
      <x:c r="C51" s="138" t="str">
        <x:v>C06-10</x:v>
      </x:c>
      <x:c r="D51" s="138" t="str">
        <x:v>DP7S 3m display cable</x:v>
      </x:c>
      <x:c r="E51" s="138" t="str">
        <x:v>Cable</x:v>
      </x:c>
      <x:c r="F51" s="138" t="str">
        <x:v>User confirmed 2026-10-22</x:v>
      </x:c>
      <x:c r="G51" s="138" t="str">
        <x:v>1 per DP7S if DP7S is selected</x:v>
      </x:c>
      <x:c r="H51" s="138"/>
      <x:c r="I51" s="138" t="str">
        <x:v>By site / solution</x:v>
      </x:c>
      <x:c r="J51" s="139" t="str">
        <x:v>1210030000163</x:v>
      </x:c>
      <x:c r="K51" s="138" t="str">
        <x:v>Not included with either DP7S logo variant</x:v>
      </x:c>
      <x:c r="L51" s="138" t="str">
        <x:v>Separate order when DP7S</x:v>
      </x:c>
      <x:c r="M51" s="138" t="str">
        <x:v>Match vehicle layout; see 03 for interface verification</x:v>
      </x:c>
      <x:c r="N51" s="138" t="str">
        <x:v>Regional claims require compliance evidence</x:v>
      </x:c>
      <x:c r="O51" s="138" t="str">
        <x:v>SKU/configuration per user reference; formal QA evidence tracked separately in 03</x:v>
      </x:c>
      <x:c r="P51" s="138" t="str">
        <x:v>Product / FAE</x:v>
      </x:c>
      <x:c r="Q51" s="138" t="str">
        <x:v>Not a customer-ready kit until secondary BOM check</x:v>
      </x:c>
      <x:c r="R51" s="138"/>
    </x:row>
    <x:row r="52" ht="55" customHeight="1">
      <x:c r="A52" s="136" t="str">
        <x:v>C06-11</x:v>
      </x:c>
      <x:c r="B52" s="136" t="str">
        <x:v>C06</x:v>
      </x:c>
      <x:c r="C52" s="136" t="str">
        <x:v>C06-11</x:v>
      </x:c>
      <x:c r="D52" s="136" t="str">
        <x:v>DW7P waterproof display</x:v>
      </x:c>
      <x:c r="E52" s="136" t="str">
        <x:v>Display</x:v>
      </x:c>
      <x:c r="F52" s="136" t="str">
        <x:v>User confirmed 2026-10-22</x:v>
      </x:c>
      <x:c r="G52" s="136" t="str">
        <x:v>Choose DW7P if waterproof display required</x:v>
      </x:c>
      <x:c r="H52" s="136"/>
      <x:c r="I52" s="136" t="str">
        <x:v>By site / solution</x:v>
      </x:c>
      <x:c r="J52" s="137" t="str">
        <x:v>5146054100001</x:v>
      </x:c>
      <x:c r="K52" s="136" t="str">
        <x:v>MDVR or vehicle power; mounting bracket and base cable included; 3m extension separately as needed</x:v>
      </x:c>
      <x:c r="L52" s="136" t="str">
        <x:v>Display alternative</x:v>
      </x:c>
      <x:c r="M52" s="136" t="str">
        <x:v>Match vehicle layout; see 03 for interface verification</x:v>
      </x:c>
      <x:c r="N52" s="136" t="str">
        <x:v>Regional claims require compliance evidence</x:v>
      </x:c>
      <x:c r="O52" s="136" t="str">
        <x:v>SKU/configuration per user reference; formal QA evidence tracked separately in 03</x:v>
      </x:c>
      <x:c r="P52" s="136" t="str">
        <x:v>Product / FAE</x:v>
      </x:c>
      <x:c r="Q52" s="136" t="str">
        <x:v>Not a customer-ready kit until secondary BOM check</x:v>
      </x:c>
      <x:c r="R52" s="136"/>
    </x:row>
    <x:row r="53" ht="55" customHeight="1">
      <x:c r="A53" s="138" t="str">
        <x:v>C06-12</x:v>
      </x:c>
      <x:c r="B53" s="138" t="str">
        <x:v>C06</x:v>
      </x:c>
      <x:c r="C53" s="138" t="str">
        <x:v>C06-12</x:v>
      </x:c>
      <x:c r="D53" s="138" t="str">
        <x:v>M3N custom 20-pin signal cable</x:v>
      </x:c>
      <x:c r="E53" s="138" t="str">
        <x:v>Kit included</x:v>
      </x:c>
      <x:c r="F53" s="138" t="str">
        <x:v>User confirmed 2026-10-22</x:v>
      </x:c>
      <x:c r="G53" s="138" t="str">
        <x:v>1 INCLUDED per host kit; additional purchase = 0</x:v>
      </x:c>
      <x:c r="H53" s="138" t="n">
        <x:v>0</x:v>
      </x:c>
      <x:c r="I53" s="138" t="str">
        <x:v>Per vehicle</x:v>
      </x:c>
      <x:c r="J53" s="139" t="str">
        <x:v>1261050100539</x:v>
      </x:c>
      <x:c r="K53" s="138" t="str">
        <x:v>Do not double-order. Both H0404 and H0204 have this included</x:v>
      </x:c>
      <x:c r="L53" s="138" t="str">
        <x:v>Included in host kit</x:v>
      </x:c>
      <x:c r="M53" s="138" t="str">
        <x:v>Match vehicle layout; see 03 for interface verification</x:v>
      </x:c>
      <x:c r="N53" s="138" t="str">
        <x:v>Regional claims require compliance evidence</x:v>
      </x:c>
      <x:c r="O53" s="138" t="str">
        <x:v>SKU/configuration per user reference; formal QA evidence tracked separately in 03</x:v>
      </x:c>
      <x:c r="P53" s="138" t="str">
        <x:v>Product / FAE</x:v>
      </x:c>
      <x:c r="Q53" s="138" t="str">
        <x:v>Not a customer-ready kit until secondary BOM check</x:v>
      </x:c>
      <x:c r="R53" s="138"/>
    </x:row>
    <x:row r="54" ht="55" customHeight="1">
      <x:c r="A54" s="136" t="str">
        <x:v>C06-13</x:v>
      </x:c>
      <x:c r="B54" s="136" t="str">
        <x:v>C06</x:v>
      </x:c>
      <x:c r="C54" s="136" t="str">
        <x:v>C06-13</x:v>
      </x:c>
      <x:c r="D54" s="136" t="str">
        <x:v>M3N host antennas/power leads</x:v>
      </x:c>
      <x:c r="E54" s="136" t="str">
        <x:v>Kit included</x:v>
      </x:c>
      <x:c r="F54" s="136" t="str">
        <x:v>User confirmed 2026-10-22</x:v>
      </x:c>
      <x:c r="G54" s="136" t="str">
        <x:v>Included in host kit; verify kit contents before customer release</x:v>
      </x:c>
      <x:c r="H54" s="136" t="n">
        <x:v>0</x:v>
      </x:c>
      <x:c r="I54" s="136" t="str">
        <x:v>Per vehicle</x:v>
      </x:c>
      <x:c r="J54" s="137"/>
      <x:c r="K54" s="136" t="str">
        <x:v>Do not double-order power and regional antennas</x:v>
      </x:c>
      <x:c r="L54" s="136" t="str">
        <x:v>Included in host kit</x:v>
      </x:c>
      <x:c r="M54" s="136" t="str">
        <x:v>Match vehicle layout; see 03 for interface verification</x:v>
      </x:c>
      <x:c r="N54" s="136" t="str">
        <x:v>Regional claims require compliance evidence</x:v>
      </x:c>
      <x:c r="O54" s="136" t="str">
        <x:v>SKU/configuration per user reference; formal QA evidence tracked separately in 03</x:v>
      </x:c>
      <x:c r="P54" s="136" t="str">
        <x:v>Product / FAE</x:v>
      </x:c>
      <x:c r="Q54" s="136" t="str">
        <x:v>Not a customer-ready kit until secondary BOM check</x:v>
      </x:c>
      <x:c r="R54" s="136"/>
    </x:row>
    <x:row r="55" ht="55" customHeight="1">
      <x:c r="A55" s="138" t="str">
        <x:v>C06-14</x:v>
      </x:c>
      <x:c r="B55" s="138" t="str">
        <x:v>C06</x:v>
      </x:c>
      <x:c r="C55" s="138" t="str">
        <x:v>C06-14</x:v>
      </x:c>
      <x:c r="D55" s="138" t="str">
        <x:v>Easycheck maintenance dongle</x:v>
      </x:c>
      <x:c r="E55" s="138" t="str">
        <x:v>Tools</x:v>
      </x:c>
      <x:c r="F55" s="138" t="str">
        <x:v>User confirmed 2026-10-22</x:v>
      </x:c>
      <x:c r="G55" s="138" t="str">
        <x:v>1 per solution / commissioning team, NOT 1 per vehicle</x:v>
      </x:c>
      <x:c r="H55" s="138"/>
      <x:c r="I55" s="138" t="str">
        <x:v>By site / solution</x:v>
      </x:c>
      <x:c r="J55" s="139" t="str">
        <x:v>5190001000009</x:v>
      </x:c>
      <x:c r="K55" s="138" t="str">
        <x:v>Common Easycheck + Veyes workflow across 2/4/5 camera systems; no extra calibration tool</x:v>
      </x:c>
      <x:c r="L55" s="138" t="str">
        <x:v>Service tool</x:v>
      </x:c>
      <x:c r="M55" s="138" t="str">
        <x:v>Match vehicle layout; see 03 for interface verification</x:v>
      </x:c>
      <x:c r="N55" s="138" t="str">
        <x:v>Regional claims require compliance evidence</x:v>
      </x:c>
      <x:c r="O55" s="138" t="str">
        <x:v>SKU/configuration per user reference; formal QA evidence tracked separately in 03</x:v>
      </x:c>
      <x:c r="P55" s="138" t="str">
        <x:v>Product / FAE</x:v>
      </x:c>
      <x:c r="Q55" s="138" t="str">
        <x:v>Not a customer-ready kit until secondary BOM check</x:v>
      </x:c>
      <x:c r="R55" s="138"/>
    </x:row>
    <x:row r="56" ht="55" customHeight="1">
      <x:c r="A56" s="136" t="str">
        <x:v>C06-15</x:v>
      </x:c>
      <x:c r="B56" s="136" t="str">
        <x:v>C06</x:v>
      </x:c>
      <x:c r="C56" s="136" t="str">
        <x:v>C06-15</x:v>
      </x:c>
      <x:c r="D56" s="136" t="str">
        <x:v>DP7S without logo — alternative</x:v>
      </x:c>
      <x:c r="E56" s="136" t="str">
        <x:v>Display</x:v>
      </x:c>
      <x:c r="F56" s="136" t="str">
        <x:v>User canonical SKU</x:v>
      </x:c>
      <x:c r="G56" s="136" t="str">
        <x:v>Alternative ONLY: if waterproofing not required and no-logo selected</x:v>
      </x:c>
      <x:c r="H56" s="136"/>
      <x:c r="I56" s="136" t="str">
        <x:v>Choose one DP7S version, or DW7P</x:v>
      </x:c>
      <x:c r="J56" s="137" t="str">
        <x:v>5190012100084</x:v>
      </x:c>
      <x:c r="K56" s="136" t="str">
        <x:v>MDVR or independent vehicle power; cable 1210030000163 separate</x:v>
      </x:c>
      <x:c r="L56" s="136" t="str">
        <x:v>Order separately only if selected</x:v>
      </x:c>
      <x:c r="M56" s="136" t="str">
        <x:v>Match the actual MDVR/display power cable</x:v>
      </x:c>
      <x:c r="N56" s="136" t="str">
        <x:v>Regional compliance per product</x:v>
      </x:c>
      <x:c r="O56" s="136" t="str">
        <x:v>Configuration specified; QA separately in 03</x:v>
      </x:c>
      <x:c r="P56" s="136" t="str">
        <x:v>Product / FAE</x:v>
      </x:c>
      <x:c r="Q56" s="136" t="str">
        <x:v>Do NOT quote both DP7S logo versions or DW7P together</x:v>
      </x:c>
      <x:c r="R56" s="136" t="str"/>
    </x:row>
    <x:row r="57" ht="55" customHeight="1">
      <x:c r="A57" s="138" t="str">
        <x:v>C07-1</x:v>
      </x:c>
      <x:c r="B57" s="138" t="str">
        <x:v>C07</x:v>
      </x:c>
      <x:c r="C57" s="138" t="str">
        <x:v>C07-01</x:v>
      </x:c>
      <x:c r="D57" s="138" t="str">
        <x:v>M1N 2.0 regional kit (choose exact regional/enclosure SKU)</x:v>
      </x:c>
      <x:c r="E57" s="138" t="str">
        <x:v>Host</x:v>
      </x:c>
      <x:c r="F57" s="138" t="str">
        <x:v>User confirmed 2026-10-22</x:v>
      </x:c>
      <x:c r="G57" s="138" t="str">
        <x:v>1 host / vehicle; select exact SKU on Regional SKUs</x:v>
      </x:c>
      <x:c r="H57" s="138" t="n">
        <x:v>1</x:v>
      </x:c>
      <x:c r="I57" s="138" t="str">
        <x:v>Per vehicle</x:v>
      </x:c>
      <x:c r="J57" s="139"/>
      <x:c r="K57" s="138" t="str">
        <x:v>Select ONE from six exact M1N regional SKUs in Regional SKUs; do not send blank SKU as order line</x:v>
      </x:c>
      <x:c r="L57" s="138" t="str">
        <x:v>Order regional kit</x:v>
      </x:c>
      <x:c r="M57" s="138" t="str">
        <x:v>Match vehicle layout; see 03 for interface verification</x:v>
      </x:c>
      <x:c r="N57" s="138" t="str">
        <x:v>Regional claims require compliance evidence</x:v>
      </x:c>
      <x:c r="O57" s="138" t="str">
        <x:v>SKU/configuration per user reference; formal QA evidence tracked separately in 03</x:v>
      </x:c>
      <x:c r="P57" s="138" t="str">
        <x:v>Product / FAE</x:v>
      </x:c>
      <x:c r="Q57" s="138" t="str">
        <x:v>Not a customer-ready kit until secondary BOM check</x:v>
      </x:c>
      <x:c r="R57" s="138" t="str">
        <x:v>NA: 5110038100014 / 5110038100037; EU/Asia and LATAM in Regional SKUs</x:v>
      </x:c>
    </x:row>
    <x:row r="58" ht="55" customHeight="1">
      <x:c r="A58" s="136" t="str">
        <x:v>C07-2</x:v>
      </x:c>
      <x:c r="B58" s="136" t="str">
        <x:v>C07</x:v>
      </x:c>
      <x:c r="C58" s="136" t="str">
        <x:v>C07-02</x:v>
      </x:c>
      <x:c r="D58" s="136" t="str">
        <x:v>C46 IPC / RS765-6</x:v>
      </x:c>
      <x:c r="E58" s="136" t="str">
        <x:v>Camera</x:v>
      </x:c>
      <x:c r="F58" s="136" t="str">
        <x:v>User confirmed 2026-10-22</x:v>
      </x:c>
      <x:c r="G58" s="136" t="str">
        <x:v>2 cameras per vehicle</x:v>
      </x:c>
      <x:c r="H58" s="136" t="n">
        <x:v>2</x:v>
      </x:c>
      <x:c r="I58" s="136" t="str">
        <x:v>Per vehicle</x:v>
      </x:c>
      <x:c r="J58" s="137" t="str">
        <x:v>5152178100023</x:v>
      </x:c>
      <x:c r="K58" s="136" t="str">
        <x:v>Standard mount and screws included. Camera RS765-6 output is NOT waterproof.</x:v>
      </x:c>
      <x:c r="L58" s="136" t="str">
        <x:v>Separate order</x:v>
      </x:c>
      <x:c r="M58" s="136" t="str">
        <x:v>Match vehicle layout; see 03 for interface verification</x:v>
      </x:c>
      <x:c r="N58" s="136" t="str">
        <x:v>Regional claims require compliance evidence</x:v>
      </x:c>
      <x:c r="O58" s="136" t="str">
        <x:v>SKU/configuration per user reference; formal QA evidence tracked separately in 03</x:v>
      </x:c>
      <x:c r="P58" s="136" t="str">
        <x:v>Product / FAE</x:v>
      </x:c>
      <x:c r="Q58" s="136" t="str">
        <x:v>Not a customer-ready kit until secondary BOM check</x:v>
      </x:c>
      <x:c r="R58" s="136"/>
    </x:row>
    <x:row r="59" ht="55" customHeight="1">
      <x:c r="A59" s="138" t="str">
        <x:v>C07-3</x:v>
      </x:c>
      <x:c r="B59" s="138" t="str">
        <x:v>C07</x:v>
      </x:c>
      <x:c r="C59" s="138" t="str">
        <x:v>C07-03</x:v>
      </x:c>
      <x:c r="D59" s="138" t="str">
        <x:v>Camera extension 7m EN — reference length</x:v>
      </x:c>
      <x:c r="E59" s="138" t="str">
        <x:v>Cable</x:v>
      </x:c>
      <x:c r="F59" s="138" t="str">
        <x:v>User confirmed 2026-10-22</x:v>
      </x:c>
      <x:c r="G59" s="138" t="str">
        <x:v>Sample length ONLY; select 3/5/7/11/15m based on actual camera run; not automatically 7m</x:v>
      </x:c>
      <x:c r="H59" s="138"/>
      <x:c r="I59" s="138" t="str">
        <x:v>By site / solution</x:v>
      </x:c>
      <x:c r="J59" s="139" t="str">
        <x:v>1260010000353</x:v>
      </x:c>
      <x:c r="K59" s="138" t="str">
        <x:v>Standard cable lengths 3 / 5 / 7 / 11 / 15 m; full SKUs in Camera Cable Options.</x:v>
      </x:c>
      <x:c r="L59" s="138" t="str">
        <x:v>Order if required</x:v>
      </x:c>
      <x:c r="M59" s="138" t="str">
        <x:v>Match vehicle layout; see 03 for interface verification</x:v>
      </x:c>
      <x:c r="N59" s="138" t="str">
        <x:v>Regional claims require compliance evidence</x:v>
      </x:c>
      <x:c r="O59" s="138" t="str">
        <x:v>SKU/configuration per user reference; formal QA evidence tracked separately in 03</x:v>
      </x:c>
      <x:c r="P59" s="138" t="str">
        <x:v>Product / FAE</x:v>
      </x:c>
      <x:c r="Q59" s="138" t="str">
        <x:v>Not a customer-ready kit until secondary BOM check</x:v>
      </x:c>
      <x:c r="R59" s="138"/>
    </x:row>
    <x:row r="60" ht="55" customHeight="1">
      <x:c r="A60" s="136" t="str">
        <x:v>C07-4</x:v>
      </x:c>
      <x:c r="B60" s="136" t="str">
        <x:v>C07</x:v>
      </x:c>
      <x:c r="C60" s="136" t="str">
        <x:v>C07-04</x:v>
      </x:c>
      <x:c r="D60" s="136" t="str">
        <x:v>BA5-O current M12-4 external alarm</x:v>
      </x:c>
      <x:c r="E60" s="136" t="str">
        <x:v>Alarm</x:v>
      </x:c>
      <x:c r="F60" s="136" t="str">
        <x:v>User confirmed 2026-10-22</x:v>
      </x:c>
      <x:c r="G60" s="136" t="str">
        <x:v>Standard 1/vehicle</x:v>
      </x:c>
      <x:c r="H60" s="136" t="n">
        <x:v>1</x:v>
      </x:c>
      <x:c r="I60" s="136" t="str">
        <x:v>Per vehicle</x:v>
      </x:c>
      <x:c r="J60" s="137" t="str">
        <x:v>5164003100004</x:v>
      </x:c>
      <x:c r="K60" s="136" t="str">
        <x:v>M12-4 RS485; direct standard harness connection if BA5-O is alone</x:v>
      </x:c>
      <x:c r="L60" s="136" t="str">
        <x:v>Separate order</x:v>
      </x:c>
      <x:c r="M60" s="136" t="str">
        <x:v>Match vehicle layout; see 03 for interface verification</x:v>
      </x:c>
      <x:c r="N60" s="136" t="str">
        <x:v>Regional claims require compliance evidence</x:v>
      </x:c>
      <x:c r="O60" s="136" t="str">
        <x:v>SKU/configuration per user reference; formal QA evidence tracked separately in 03</x:v>
      </x:c>
      <x:c r="P60" s="136" t="str">
        <x:v>Product / FAE</x:v>
      </x:c>
      <x:c r="Q60" s="136" t="str">
        <x:v>Not a customer-ready kit until secondary BOM check</x:v>
      </x:c>
      <x:c r="R60" s="136"/>
    </x:row>
    <x:row r="61" ht="55" customHeight="1">
      <x:c r="A61" s="138" t="str">
        <x:v>C07-5</x:v>
      </x:c>
      <x:c r="B61" s="138" t="str">
        <x:v>C07</x:v>
      </x:c>
      <x:c r="C61" s="138" t="str">
        <x:v>C07-05</x:v>
      </x:c>
      <x:c r="D61" s="138" t="str">
        <x:v>BA5-I current M12-4 directional in-cab alarm</x:v>
      </x:c>
      <x:c r="E61" s="138" t="str">
        <x:v>Alarm</x:v>
      </x:c>
      <x:c r="F61" s="138" t="str">
        <x:v>User confirmed 2026-10-22</x:v>
      </x:c>
      <x:c r="G61" s="138" t="str">
        <x:v>Strongly recommend 1/vehicle when &gt;2 monitored blind spots; optional otherwise</x:v>
      </x:c>
      <x:c r="H61" s="138"/>
      <x:c r="I61" s="138" t="str">
        <x:v>By site / solution</x:v>
      </x:c>
      <x:c r="J61" s="139" t="str">
        <x:v>5164002100004</x:v>
      </x:c>
      <x:c r="K61" s="138" t="str">
        <x:v>Four-direction warning indication, 5W speaker; fixed audio</x:v>
      </x:c>
      <x:c r="L61" s="138" t="str">
        <x:v>Separate order when selected</x:v>
      </x:c>
      <x:c r="M61" s="138" t="str">
        <x:v>Match vehicle layout; see 03 for interface verification</x:v>
      </x:c>
      <x:c r="N61" s="138" t="str">
        <x:v>Regional claims require compliance evidence</x:v>
      </x:c>
      <x:c r="O61" s="138" t="str">
        <x:v>SKU/configuration per user reference; formal QA evidence tracked separately in 03</x:v>
      </x:c>
      <x:c r="P61" s="138" t="str">
        <x:v>Product / FAE</x:v>
      </x:c>
      <x:c r="Q61" s="138" t="str">
        <x:v>Not a customer-ready kit until secondary BOM check</x:v>
      </x:c>
      <x:c r="R61" s="138"/>
    </x:row>
    <x:row r="62" ht="55" customHeight="1">
      <x:c r="A62" s="136" t="str">
        <x:v>C07-6</x:v>
      </x:c>
      <x:c r="B62" s="136" t="str">
        <x:v>C07</x:v>
      </x:c>
      <x:c r="C62" s="136" t="str">
        <x:v>C07-06</x:v>
      </x:c>
      <x:c r="D62" s="136" t="str">
        <x:v>BA5-I/O dual-alarm RS485 adapter</x:v>
      </x:c>
      <x:c r="E62" s="136" t="str">
        <x:v>Cable</x:v>
      </x:c>
      <x:c r="F62" s="136" t="str">
        <x:v>User confirmed 2026-10-22</x:v>
      </x:c>
      <x:c r="G62" s="136" t="str">
        <x:v>Mandatory 1/vehicle IF BA5-I and BA5-O both fitted</x:v>
      </x:c>
      <x:c r="H62" s="136"/>
      <x:c r="I62" s="136" t="str">
        <x:v>By site / solution</x:v>
      </x:c>
      <x:c r="J62" s="137" t="str">
        <x:v>1261050100490</x:v>
      </x:c>
      <x:c r="K62" s="136" t="str">
        <x:v>No dedicated adapter when BA5-O alone</x:v>
      </x:c>
      <x:c r="L62" s="136" t="str">
        <x:v>Separate order if both alarms</x:v>
      </x:c>
      <x:c r="M62" s="136" t="str">
        <x:v>Match vehicle layout; see 03 for interface verification</x:v>
      </x:c>
      <x:c r="N62" s="136" t="str">
        <x:v>Regional claims require compliance evidence</x:v>
      </x:c>
      <x:c r="O62" s="136" t="str">
        <x:v>SKU/configuration per user reference; formal QA evidence tracked separately in 03</x:v>
      </x:c>
      <x:c r="P62" s="136" t="str">
        <x:v>Product / FAE</x:v>
      </x:c>
      <x:c r="Q62" s="136" t="str">
        <x:v>Not a customer-ready kit until secondary BOM check</x:v>
      </x:c>
      <x:c r="R62" s="136"/>
    </x:row>
    <x:row r="63" ht="55" customHeight="1">
      <x:c r="A63" s="138" t="str">
        <x:v>C07-7</x:v>
      </x:c>
      <x:c r="B63" s="138" t="str">
        <x:v>C07</x:v>
      </x:c>
      <x:c r="C63" s="138" t="str">
        <x:v>C07-07</x:v>
      </x:c>
      <x:c r="D63" s="138" t="str">
        <x:v>BA5 3m waterproof extension (also DW7P)</x:v>
      </x:c>
      <x:c r="E63" s="138" t="str">
        <x:v>Cable</x:v>
      </x:c>
      <x:c r="F63" s="138" t="str">
        <x:v>User confirmed 2026-10-22</x:v>
      </x:c>
      <x:c r="G63" s="138" t="str">
        <x:v>Only if extra 3m run required</x:v>
      </x:c>
      <x:c r="H63" s="138"/>
      <x:c r="I63" s="138" t="str">
        <x:v>By site / solution</x:v>
      </x:c>
      <x:c r="J63" s="139" t="str">
        <x:v>1260010100265</x:v>
      </x:c>
      <x:c r="K63" s="138" t="str">
        <x:v>Confirmed shared 3m M12-4 extension for current BA5-I/O and DW7P</x:v>
      </x:c>
      <x:c r="L63" s="138" t="str">
        <x:v>Separate optional order</x:v>
      </x:c>
      <x:c r="M63" s="138" t="str">
        <x:v>Match vehicle layout; see 03 for interface verification</x:v>
      </x:c>
      <x:c r="N63" s="138" t="str">
        <x:v>Regional claims require compliance evidence</x:v>
      </x:c>
      <x:c r="O63" s="138" t="str">
        <x:v>SKU/configuration per user reference; formal QA evidence tracked separately in 03</x:v>
      </x:c>
      <x:c r="P63" s="138" t="str">
        <x:v>Product / FAE</x:v>
      </x:c>
      <x:c r="Q63" s="138" t="str">
        <x:v>Not a customer-ready kit until secondary BOM check</x:v>
      </x:c>
      <x:c r="R63" s="138"/>
    </x:row>
    <x:row r="64" ht="55" customHeight="1">
      <x:c r="A64" s="136" t="str">
        <x:v>C07-8</x:v>
      </x:c>
      <x:c r="B64" s="136" t="str">
        <x:v>C07</x:v>
      </x:c>
      <x:c r="C64" s="136" t="str">
        <x:v>C07-08</x:v>
      </x:c>
      <x:c r="D64" s="136" t="str">
        <x:v>BA5 7m extension</x:v>
      </x:c>
      <x:c r="E64" s="136" t="str">
        <x:v>Cable</x:v>
      </x:c>
      <x:c r="F64" s="136" t="str">
        <x:v>User confirmed 2026-10-22</x:v>
      </x:c>
      <x:c r="G64" s="136" t="str">
        <x:v>If 7m extension needed by installation</x:v>
      </x:c>
      <x:c r="H64" s="136"/>
      <x:c r="I64" s="136" t="str">
        <x:v>By site / solution</x:v>
      </x:c>
      <x:c r="J64" s="137" t="str">
        <x:v>1260040100475</x:v>
      </x:c>
      <x:c r="K64" s="136" t="str">
        <x:v>Confirmed compatible with current BA5 M12-4 setup</x:v>
      </x:c>
      <x:c r="L64" s="136" t="str">
        <x:v>Separate optional order</x:v>
      </x:c>
      <x:c r="M64" s="136" t="str">
        <x:v>Match vehicle layout; see 03 for interface verification</x:v>
      </x:c>
      <x:c r="N64" s="136" t="str">
        <x:v>Regional claims require compliance evidence</x:v>
      </x:c>
      <x:c r="O64" s="136" t="str">
        <x:v>SKU/configuration per user reference; formal QA evidence tracked separately in 03</x:v>
      </x:c>
      <x:c r="P64" s="136" t="str">
        <x:v>Product / FAE</x:v>
      </x:c>
      <x:c r="Q64" s="136" t="str">
        <x:v>Not a customer-ready kit until secondary BOM check</x:v>
      </x:c>
      <x:c r="R64" s="136"/>
    </x:row>
    <x:row r="65" ht="55" customHeight="1">
      <x:c r="A65" s="138" t="str">
        <x:v>C07-9</x:v>
      </x:c>
      <x:c r="B65" s="138" t="str">
        <x:v>C07</x:v>
      </x:c>
      <x:c r="C65" s="138" t="str">
        <x:v>C07-09</x:v>
      </x:c>
      <x:c r="D65" s="138" t="str">
        <x:v>DP7S with logo — nonwaterproof display</x:v>
      </x:c>
      <x:c r="E65" s="138" t="str">
        <x:v>Display</x:v>
      </x:c>
      <x:c r="F65" s="138" t="str">
        <x:v>User confirmed 2026-10-22</x:v>
      </x:c>
      <x:c r="G65" s="138" t="str">
        <x:v>Display alternative: DP7S only when waterproofing not required; no-logo variant also available</x:v>
      </x:c>
      <x:c r="H65" s="138"/>
      <x:c r="I65" s="138" t="str">
        <x:v>By site / solution</x:v>
      </x:c>
      <x:c r="J65" s="139" t="str">
        <x:v>5146026100001</x:v>
      </x:c>
      <x:c r="K65" s="138" t="str">
        <x:v>Powered by MDVR; alternative DW7P when waterproofing required</x:v>
      </x:c>
      <x:c r="L65" s="138" t="str">
        <x:v>Display alternative</x:v>
      </x:c>
      <x:c r="M65" s="138" t="str">
        <x:v>Match vehicle layout; see 03 for interface verification</x:v>
      </x:c>
      <x:c r="N65" s="138" t="str">
        <x:v>Regional claims require compliance evidence</x:v>
      </x:c>
      <x:c r="O65" s="138" t="str">
        <x:v>SKU/configuration per user reference; formal QA evidence tracked separately in 03</x:v>
      </x:c>
      <x:c r="P65" s="138" t="str">
        <x:v>Product / FAE</x:v>
      </x:c>
      <x:c r="Q65" s="138" t="str">
        <x:v>Not a customer-ready kit until secondary BOM check</x:v>
      </x:c>
      <x:c r="R65" s="138"/>
    </x:row>
    <x:row r="66" ht="55" customHeight="1">
      <x:c r="A66" s="136" t="str">
        <x:v>C07-10</x:v>
      </x:c>
      <x:c r="B66" s="136" t="str">
        <x:v>C07</x:v>
      </x:c>
      <x:c r="C66" s="136" t="str">
        <x:v>C07-10</x:v>
      </x:c>
      <x:c r="D66" s="136" t="str">
        <x:v>DP7S 3m display cable</x:v>
      </x:c>
      <x:c r="E66" s="136" t="str">
        <x:v>Cable</x:v>
      </x:c>
      <x:c r="F66" s="136" t="str">
        <x:v>User confirmed 2026-10-22</x:v>
      </x:c>
      <x:c r="G66" s="136" t="str">
        <x:v>1 per DP7S if DP7S is selected</x:v>
      </x:c>
      <x:c r="H66" s="136"/>
      <x:c r="I66" s="136" t="str">
        <x:v>By site / solution</x:v>
      </x:c>
      <x:c r="J66" s="137" t="str">
        <x:v>1210030000163</x:v>
      </x:c>
      <x:c r="K66" s="136" t="str">
        <x:v>Not included with either DP7S logo variant</x:v>
      </x:c>
      <x:c r="L66" s="136" t="str">
        <x:v>Separate order when DP7S</x:v>
      </x:c>
      <x:c r="M66" s="136" t="str">
        <x:v>Match vehicle layout; see 03 for interface verification</x:v>
      </x:c>
      <x:c r="N66" s="136" t="str">
        <x:v>Regional claims require compliance evidence</x:v>
      </x:c>
      <x:c r="O66" s="136" t="str">
        <x:v>SKU/configuration per user reference; formal QA evidence tracked separately in 03</x:v>
      </x:c>
      <x:c r="P66" s="136" t="str">
        <x:v>Product / FAE</x:v>
      </x:c>
      <x:c r="Q66" s="136" t="str">
        <x:v>Not a customer-ready kit until secondary BOM check</x:v>
      </x:c>
      <x:c r="R66" s="136"/>
    </x:row>
    <x:row r="67" ht="55" customHeight="1">
      <x:c r="A67" s="138" t="str">
        <x:v>C07-11</x:v>
      </x:c>
      <x:c r="B67" s="138" t="str">
        <x:v>C07</x:v>
      </x:c>
      <x:c r="C67" s="138" t="str">
        <x:v>C07-11</x:v>
      </x:c>
      <x:c r="D67" s="138" t="str">
        <x:v>DW7P waterproof display</x:v>
      </x:c>
      <x:c r="E67" s="138" t="str">
        <x:v>Display</x:v>
      </x:c>
      <x:c r="F67" s="138" t="str">
        <x:v>User confirmed 2026-10-22</x:v>
      </x:c>
      <x:c r="G67" s="138" t="str">
        <x:v>Choose DW7P if waterproof display required</x:v>
      </x:c>
      <x:c r="H67" s="138"/>
      <x:c r="I67" s="138" t="str">
        <x:v>By site / solution</x:v>
      </x:c>
      <x:c r="J67" s="139" t="str">
        <x:v>5146054100001</x:v>
      </x:c>
      <x:c r="K67" s="138" t="str">
        <x:v>MDVR or vehicle power; mounting bracket and base cable included; 3m extension separately as needed</x:v>
      </x:c>
      <x:c r="L67" s="138" t="str">
        <x:v>Display alternative</x:v>
      </x:c>
      <x:c r="M67" s="138" t="str">
        <x:v>Match vehicle layout; see 03 for interface verification</x:v>
      </x:c>
      <x:c r="N67" s="138" t="str">
        <x:v>Regional claims require compliance evidence</x:v>
      </x:c>
      <x:c r="O67" s="138" t="str">
        <x:v>SKU/configuration per user reference; formal QA evidence tracked separately in 03</x:v>
      </x:c>
      <x:c r="P67" s="138" t="str">
        <x:v>Product / FAE</x:v>
      </x:c>
      <x:c r="Q67" s="138" t="str">
        <x:v>Not a customer-ready kit until secondary BOM check</x:v>
      </x:c>
      <x:c r="R67" s="138"/>
    </x:row>
    <x:row r="68" ht="55" customHeight="1">
      <x:c r="A68" s="136" t="str">
        <x:v>C07-12</x:v>
      </x:c>
      <x:c r="B68" s="136" t="str">
        <x:v>C07</x:v>
      </x:c>
      <x:c r="C68" s="136" t="str">
        <x:v>C07-12</x:v>
      </x:c>
      <x:c r="D68" s="136" t="str">
        <x:v>M1N power &amp; antenna base accessories</x:v>
      </x:c>
      <x:c r="E68" s="136" t="str">
        <x:v>Kit included</x:v>
      </x:c>
      <x:c r="F68" s="136" t="str">
        <x:v>User confirmed 2026-10-22</x:v>
      </x:c>
      <x:c r="G68" s="136" t="str">
        <x:v>Included in regional host kit; additional purchase = 0</x:v>
      </x:c>
      <x:c r="H68" s="136" t="n">
        <x:v>0</x:v>
      </x:c>
      <x:c r="I68" s="136" t="str">
        <x:v>Per vehicle</x:v>
      </x:c>
      <x:c r="J68" s="137"/>
      <x:c r="K68" s="136" t="str">
        <x:v>Verify exact contents against selected M1N regional host kit</x:v>
      </x:c>
      <x:c r="L68" s="136" t="str">
        <x:v>Included in host kit</x:v>
      </x:c>
      <x:c r="M68" s="136" t="str">
        <x:v>Match vehicle layout; see 03 for interface verification</x:v>
      </x:c>
      <x:c r="N68" s="136" t="str">
        <x:v>Regional claims require compliance evidence</x:v>
      </x:c>
      <x:c r="O68" s="136" t="str">
        <x:v>SKU/configuration per user reference; formal QA evidence tracked separately in 03</x:v>
      </x:c>
      <x:c r="P68" s="136" t="str">
        <x:v>Product / FAE</x:v>
      </x:c>
      <x:c r="Q68" s="136" t="str">
        <x:v>Not a customer-ready kit until secondary BOM check</x:v>
      </x:c>
      <x:c r="R68" s="136"/>
    </x:row>
    <x:row r="69" ht="55" customHeight="1">
      <x:c r="A69" s="138" t="str">
        <x:v>C07-13</x:v>
      </x:c>
      <x:c r="B69" s="138" t="str">
        <x:v>C07</x:v>
      </x:c>
      <x:c r="C69" s="138" t="str">
        <x:v>C07-13</x:v>
      </x:c>
      <x:c r="D69" s="138" t="str">
        <x:v>Easycheck maintenance dongle</x:v>
      </x:c>
      <x:c r="E69" s="138" t="str">
        <x:v>Tools</x:v>
      </x:c>
      <x:c r="F69" s="138" t="str">
        <x:v>User confirmed 2026-10-22</x:v>
      </x:c>
      <x:c r="G69" s="138" t="str">
        <x:v>1 per solution / commissioning team, NOT 1 per vehicle</x:v>
      </x:c>
      <x:c r="H69" s="138"/>
      <x:c r="I69" s="138" t="str">
        <x:v>By site / solution</x:v>
      </x:c>
      <x:c r="J69" s="139" t="str">
        <x:v>5190001000009</x:v>
      </x:c>
      <x:c r="K69" s="138" t="str">
        <x:v>Common Easycheck + Veyes workflow across 2/4/5 camera systems; no extra calibration tool</x:v>
      </x:c>
      <x:c r="L69" s="138" t="str">
        <x:v>Service tool</x:v>
      </x:c>
      <x:c r="M69" s="138" t="str">
        <x:v>Match vehicle layout; see 03 for interface verification</x:v>
      </x:c>
      <x:c r="N69" s="138" t="str">
        <x:v>Regional claims require compliance evidence</x:v>
      </x:c>
      <x:c r="O69" s="138" t="str">
        <x:v>SKU/configuration per user reference; formal QA evidence tracked separately in 03</x:v>
      </x:c>
      <x:c r="P69" s="138" t="str">
        <x:v>Product / FAE</x:v>
      </x:c>
      <x:c r="Q69" s="138" t="str">
        <x:v>Not a customer-ready kit until secondary BOM check</x:v>
      </x:c>
      <x:c r="R69" s="138"/>
    </x:row>
    <x:row r="70" ht="55" customHeight="1">
      <x:c r="A70" s="136" t="str">
        <x:v>C07-14</x:v>
      </x:c>
      <x:c r="B70" s="136" t="str">
        <x:v>C07</x:v>
      </x:c>
      <x:c r="C70" s="136" t="str">
        <x:v>C07-14</x:v>
      </x:c>
      <x:c r="D70" s="136" t="str">
        <x:v>DP7S without logo — alternative</x:v>
      </x:c>
      <x:c r="E70" s="136" t="str">
        <x:v>Display</x:v>
      </x:c>
      <x:c r="F70" s="136" t="str">
        <x:v>User canonical SKU</x:v>
      </x:c>
      <x:c r="G70" s="136" t="str">
        <x:v>Alternative ONLY: if waterproofing not required and no-logo selected</x:v>
      </x:c>
      <x:c r="H70" s="136"/>
      <x:c r="I70" s="136" t="str">
        <x:v>Choose one DP7S version, or DW7P</x:v>
      </x:c>
      <x:c r="J70" s="137" t="str">
        <x:v>5190012100084</x:v>
      </x:c>
      <x:c r="K70" s="136" t="str">
        <x:v>MDVR or independent vehicle power; cable 1210030000163 separate</x:v>
      </x:c>
      <x:c r="L70" s="136" t="str">
        <x:v>Order separately only if selected</x:v>
      </x:c>
      <x:c r="M70" s="136" t="str">
        <x:v>Match the actual MDVR/display power cable</x:v>
      </x:c>
      <x:c r="N70" s="136" t="str">
        <x:v>Regional compliance per product</x:v>
      </x:c>
      <x:c r="O70" s="136" t="str">
        <x:v>Configuration specified; QA separately in 03</x:v>
      </x:c>
      <x:c r="P70" s="136" t="str">
        <x:v>Product / FAE</x:v>
      </x:c>
      <x:c r="Q70" s="136" t="str">
        <x:v>Do NOT quote both DP7S logo versions or DW7P together</x:v>
      </x:c>
      <x:c r="R70" s="136" t="str"/>
    </x:row>
    <x:row r="71" ht="55" customHeight="1">
      <x:c r="A71" s="138" t="str">
        <x:v>C08-1</x:v>
      </x:c>
      <x:c r="B71" s="138" t="str">
        <x:v>C08</x:v>
      </x:c>
      <x:c r="C71" s="138" t="str">
        <x:v>C08-01</x:v>
      </x:c>
      <x:c r="D71" s="138" t="str">
        <x:v>M1N 2.0 regional kit (choose exact regional/enclosure SKU)</x:v>
      </x:c>
      <x:c r="E71" s="138" t="str">
        <x:v>Host</x:v>
      </x:c>
      <x:c r="F71" s="138" t="str">
        <x:v>User confirmed 2026-10-22</x:v>
      </x:c>
      <x:c r="G71" s="138" t="str">
        <x:v>1 host / vehicle; select exact SKU on Regional SKUs</x:v>
      </x:c>
      <x:c r="H71" s="138" t="n">
        <x:v>1</x:v>
      </x:c>
      <x:c r="I71" s="138" t="str">
        <x:v>Per vehicle</x:v>
      </x:c>
      <x:c r="J71" s="139"/>
      <x:c r="K71" s="138" t="str">
        <x:v>Select ONE from six exact M1N regional SKUs in Regional SKUs; do not send blank SKU as order line</x:v>
      </x:c>
      <x:c r="L71" s="138" t="str">
        <x:v>Order regional kit</x:v>
      </x:c>
      <x:c r="M71" s="138" t="str">
        <x:v>Match vehicle layout; see 03 for interface verification</x:v>
      </x:c>
      <x:c r="N71" s="138" t="str">
        <x:v>Regional claims require compliance evidence</x:v>
      </x:c>
      <x:c r="O71" s="138" t="str">
        <x:v>SKU/configuration per user reference; formal QA evidence tracked separately in 03</x:v>
      </x:c>
      <x:c r="P71" s="138" t="str">
        <x:v>Product / FAE</x:v>
      </x:c>
      <x:c r="Q71" s="138" t="str">
        <x:v>Not a customer-ready kit until secondary BOM check</x:v>
      </x:c>
      <x:c r="R71" s="138" t="str">
        <x:v>NA: 5110038100014 / 5110038100037; EU/Asia and LATAM in Regional SKUs</x:v>
      </x:c>
    </x:row>
    <x:row r="72" ht="55" customHeight="1">
      <x:c r="A72" s="136" t="str">
        <x:v>C08-2</x:v>
      </x:c>
      <x:c r="B72" s="136" t="str">
        <x:v>C08</x:v>
      </x:c>
      <x:c r="C72" s="136" t="str">
        <x:v>C08-02</x:v>
      </x:c>
      <x:c r="D72" s="136" t="str">
        <x:v>C46 IPC / RS765-6</x:v>
      </x:c>
      <x:c r="E72" s="136" t="str">
        <x:v>Camera</x:v>
      </x:c>
      <x:c r="F72" s="136" t="str">
        <x:v>User confirmed 2026-10-22</x:v>
      </x:c>
      <x:c r="G72" s="136" t="str">
        <x:v>4 cameras per vehicle</x:v>
      </x:c>
      <x:c r="H72" s="136" t="n">
        <x:v>4</x:v>
      </x:c>
      <x:c r="I72" s="136" t="str">
        <x:v>Per vehicle</x:v>
      </x:c>
      <x:c r="J72" s="137" t="str">
        <x:v>5152178100023</x:v>
      </x:c>
      <x:c r="K72" s="136" t="str">
        <x:v>Standard mount and screws included. Camera RS765-6 output is NOT waterproof.</x:v>
      </x:c>
      <x:c r="L72" s="136" t="str">
        <x:v>Separate order</x:v>
      </x:c>
      <x:c r="M72" s="136" t="str">
        <x:v>Match vehicle layout; see 03 for interface verification</x:v>
      </x:c>
      <x:c r="N72" s="136" t="str">
        <x:v>Regional claims require compliance evidence</x:v>
      </x:c>
      <x:c r="O72" s="136" t="str">
        <x:v>SKU/configuration per user reference; formal QA evidence tracked separately in 03</x:v>
      </x:c>
      <x:c r="P72" s="136" t="str">
        <x:v>Product / FAE</x:v>
      </x:c>
      <x:c r="Q72" s="136" t="str">
        <x:v>Not a customer-ready kit until secondary BOM check</x:v>
      </x:c>
      <x:c r="R72" s="136"/>
    </x:row>
    <x:row r="73" ht="55" customHeight="1">
      <x:c r="A73" s="138" t="str">
        <x:v>C08-3</x:v>
      </x:c>
      <x:c r="B73" s="138" t="str">
        <x:v>C08</x:v>
      </x:c>
      <x:c r="C73" s="138" t="str">
        <x:v>C08-03</x:v>
      </x:c>
      <x:c r="D73" s="138" t="str">
        <x:v>Camera extension 7m EN — reference length</x:v>
      </x:c>
      <x:c r="E73" s="138" t="str">
        <x:v>Cable</x:v>
      </x:c>
      <x:c r="F73" s="138" t="str">
        <x:v>User confirmed 2026-10-22</x:v>
      </x:c>
      <x:c r="G73" s="138" t="str">
        <x:v>Sample length ONLY; select 3/5/7/11/15m based on actual camera run; not automatically 7m</x:v>
      </x:c>
      <x:c r="H73" s="138"/>
      <x:c r="I73" s="138" t="str">
        <x:v>By site / solution</x:v>
      </x:c>
      <x:c r="J73" s="139" t="str">
        <x:v>1260010000353</x:v>
      </x:c>
      <x:c r="K73" s="138" t="str">
        <x:v>Standard cable lengths 3 / 5 / 7 / 11 / 15 m; full SKUs in Camera Cable Options.</x:v>
      </x:c>
      <x:c r="L73" s="138" t="str">
        <x:v>Order if required</x:v>
      </x:c>
      <x:c r="M73" s="138" t="str">
        <x:v>Match vehicle layout; see 03 for interface verification</x:v>
      </x:c>
      <x:c r="N73" s="138" t="str">
        <x:v>Regional claims require compliance evidence</x:v>
      </x:c>
      <x:c r="O73" s="138" t="str">
        <x:v>SKU/configuration per user reference; formal QA evidence tracked separately in 03</x:v>
      </x:c>
      <x:c r="P73" s="138" t="str">
        <x:v>Product / FAE</x:v>
      </x:c>
      <x:c r="Q73" s="138" t="str">
        <x:v>Not a customer-ready kit until secondary BOM check</x:v>
      </x:c>
      <x:c r="R73" s="138"/>
    </x:row>
    <x:row r="74" ht="55" customHeight="1">
      <x:c r="A74" s="136" t="str">
        <x:v>C08-4</x:v>
      </x:c>
      <x:c r="B74" s="136" t="str">
        <x:v>C08</x:v>
      </x:c>
      <x:c r="C74" s="136" t="str">
        <x:v>C08-04</x:v>
      </x:c>
      <x:c r="D74" s="136" t="str">
        <x:v>M1N IPC switch</x:v>
      </x:c>
      <x:c r="E74" s="136" t="str">
        <x:v>Network</x:v>
      </x:c>
      <x:c r="F74" s="136" t="str">
        <x:v>User confirmed 2026-10-22</x:v>
      </x:c>
      <x:c r="G74" s="136" t="str">
        <x:v>Mandatory 1/vehicle</x:v>
      </x:c>
      <x:c r="H74" s="136" t="n">
        <x:v>1</x:v>
      </x:c>
      <x:c r="I74" s="136" t="str">
        <x:v>Per vehicle</x:v>
      </x:c>
      <x:c r="J74" s="137" t="str">
        <x:v>5173002100003</x:v>
      </x:c>
      <x:c r="K74" s="136" t="str">
        <x:v>Per 4/5-camera connection diagram; no extra switch power accessory</x:v>
      </x:c>
      <x:c r="L74" s="136" t="str">
        <x:v>Separate order</x:v>
      </x:c>
      <x:c r="M74" s="136" t="str">
        <x:v>Match vehicle layout; see 03 for interface verification</x:v>
      </x:c>
      <x:c r="N74" s="136" t="str">
        <x:v>Regional claims require compliance evidence</x:v>
      </x:c>
      <x:c r="O74" s="136" t="str">
        <x:v>SKU/configuration per user reference; formal QA evidence tracked separately in 03</x:v>
      </x:c>
      <x:c r="P74" s="136" t="str">
        <x:v>Product / FAE</x:v>
      </x:c>
      <x:c r="Q74" s="136" t="str">
        <x:v>Not a customer-ready kit until secondary BOM check</x:v>
      </x:c>
      <x:c r="R74" s="136"/>
    </x:row>
    <x:row r="75" ht="55" customHeight="1">
      <x:c r="A75" s="138" t="str">
        <x:v>C08-5</x:v>
      </x:c>
      <x:c r="B75" s="138" t="str">
        <x:v>C08</x:v>
      </x:c>
      <x:c r="C75" s="138" t="str">
        <x:v>C08-05</x:v>
      </x:c>
      <x:c r="D75" s="138" t="str">
        <x:v>M1N switch drive cable</x:v>
      </x:c>
      <x:c r="E75" s="138" t="str">
        <x:v>Cable</x:v>
      </x:c>
      <x:c r="F75" s="138" t="str">
        <x:v>User confirmed 2026-10-22</x:v>
      </x:c>
      <x:c r="G75" s="138" t="str">
        <x:v>Mandatory 1/vehicle</x:v>
      </x:c>
      <x:c r="H75" s="138" t="n">
        <x:v>1</x:v>
      </x:c>
      <x:c r="I75" s="138" t="str">
        <x:v>Per vehicle</x:v>
      </x:c>
      <x:c r="J75" s="139" t="str">
        <x:v>1261020000036</x:v>
      </x:c>
      <x:c r="K75" s="138" t="str">
        <x:v>Pair with switch 5173002100003</x:v>
      </x:c>
      <x:c r="L75" s="138" t="str">
        <x:v>Separate order</x:v>
      </x:c>
      <x:c r="M75" s="138" t="str">
        <x:v>Match vehicle layout; see 03 for interface verification</x:v>
      </x:c>
      <x:c r="N75" s="138" t="str">
        <x:v>Regional claims require compliance evidence</x:v>
      </x:c>
      <x:c r="O75" s="138" t="str">
        <x:v>SKU/configuration per user reference; formal QA evidence tracked separately in 03</x:v>
      </x:c>
      <x:c r="P75" s="138" t="str">
        <x:v>Product / FAE</x:v>
      </x:c>
      <x:c r="Q75" s="138" t="str">
        <x:v>Not a customer-ready kit until secondary BOM check</x:v>
      </x:c>
      <x:c r="R75" s="138"/>
    </x:row>
    <x:row r="76" ht="55" customHeight="1">
      <x:c r="A76" s="136" t="str">
        <x:v>C08-6</x:v>
      </x:c>
      <x:c r="B76" s="136" t="str">
        <x:v>C08</x:v>
      </x:c>
      <x:c r="C76" s="136" t="str">
        <x:v>C08-06</x:v>
      </x:c>
      <x:c r="D76" s="136" t="str">
        <x:v>BA5-O current M12-4 external alarm</x:v>
      </x:c>
      <x:c r="E76" s="136" t="str">
        <x:v>Alarm</x:v>
      </x:c>
      <x:c r="F76" s="136" t="str">
        <x:v>User confirmed 2026-10-22</x:v>
      </x:c>
      <x:c r="G76" s="136" t="str">
        <x:v>Standard 1/vehicle</x:v>
      </x:c>
      <x:c r="H76" s="136" t="n">
        <x:v>1</x:v>
      </x:c>
      <x:c r="I76" s="136" t="str">
        <x:v>Per vehicle</x:v>
      </x:c>
      <x:c r="J76" s="137" t="str">
        <x:v>5164003100004</x:v>
      </x:c>
      <x:c r="K76" s="136" t="str">
        <x:v>M12-4 RS485; direct standard harness connection if BA5-O is alone</x:v>
      </x:c>
      <x:c r="L76" s="136" t="str">
        <x:v>Separate order</x:v>
      </x:c>
      <x:c r="M76" s="136" t="str">
        <x:v>Match vehicle layout; see 03 for interface verification</x:v>
      </x:c>
      <x:c r="N76" s="136" t="str">
        <x:v>Regional claims require compliance evidence</x:v>
      </x:c>
      <x:c r="O76" s="136" t="str">
        <x:v>SKU/configuration per user reference; formal QA evidence tracked separately in 03</x:v>
      </x:c>
      <x:c r="P76" s="136" t="str">
        <x:v>Product / FAE</x:v>
      </x:c>
      <x:c r="Q76" s="136" t="str">
        <x:v>Not a customer-ready kit until secondary BOM check</x:v>
      </x:c>
      <x:c r="R76" s="136"/>
    </x:row>
    <x:row r="77" ht="55" customHeight="1">
      <x:c r="A77" s="138" t="str">
        <x:v>C08-7</x:v>
      </x:c>
      <x:c r="B77" s="138" t="str">
        <x:v>C08</x:v>
      </x:c>
      <x:c r="C77" s="138" t="str">
        <x:v>C08-07</x:v>
      </x:c>
      <x:c r="D77" s="138" t="str">
        <x:v>BA5-I current M12-4 directional in-cab alarm</x:v>
      </x:c>
      <x:c r="E77" s="138" t="str">
        <x:v>Alarm</x:v>
      </x:c>
      <x:c r="F77" s="138" t="str">
        <x:v>User confirmed 2026-10-22</x:v>
      </x:c>
      <x:c r="G77" s="138" t="str">
        <x:v>Strongly recommend 1/vehicle when &gt;2 monitored blind spots; optional otherwise</x:v>
      </x:c>
      <x:c r="H77" s="138" t="n">
        <x:v>1</x:v>
      </x:c>
      <x:c r="I77" s="138" t="str">
        <x:v>Per vehicle</x:v>
      </x:c>
      <x:c r="J77" s="139" t="str">
        <x:v>5164002100004</x:v>
      </x:c>
      <x:c r="K77" s="138" t="str">
        <x:v>Four-direction warning indication, 5W speaker; fixed audio</x:v>
      </x:c>
      <x:c r="L77" s="138" t="str">
        <x:v>Separate order when selected</x:v>
      </x:c>
      <x:c r="M77" s="138" t="str">
        <x:v>Match vehicle layout; see 03 for interface verification</x:v>
      </x:c>
      <x:c r="N77" s="138" t="str">
        <x:v>Regional claims require compliance evidence</x:v>
      </x:c>
      <x:c r="O77" s="138" t="str">
        <x:v>SKU/configuration per user reference; formal QA evidence tracked separately in 03</x:v>
      </x:c>
      <x:c r="P77" s="138" t="str">
        <x:v>Product / FAE</x:v>
      </x:c>
      <x:c r="Q77" s="138" t="str">
        <x:v>Not a customer-ready kit until secondary BOM check</x:v>
      </x:c>
      <x:c r="R77" s="138"/>
    </x:row>
    <x:row r="78" ht="55" customHeight="1">
      <x:c r="A78" s="136" t="str">
        <x:v>C08-8</x:v>
      </x:c>
      <x:c r="B78" s="136" t="str">
        <x:v>C08</x:v>
      </x:c>
      <x:c r="C78" s="136" t="str">
        <x:v>C08-08</x:v>
      </x:c>
      <x:c r="D78" s="136" t="str">
        <x:v>BA5-I/O dual-alarm RS485 adapter</x:v>
      </x:c>
      <x:c r="E78" s="136" t="str">
        <x:v>Cable</x:v>
      </x:c>
      <x:c r="F78" s="136" t="str">
        <x:v>User confirmed 2026-10-22</x:v>
      </x:c>
      <x:c r="G78" s="136" t="str">
        <x:v>Mandatory 1/vehicle IF BA5-I and BA5-O both fitted</x:v>
      </x:c>
      <x:c r="H78" s="136"/>
      <x:c r="I78" s="136" t="str">
        <x:v>By site / solution</x:v>
      </x:c>
      <x:c r="J78" s="137" t="str">
        <x:v>1261050100490</x:v>
      </x:c>
      <x:c r="K78" s="136" t="str">
        <x:v>No dedicated adapter when BA5-O alone</x:v>
      </x:c>
      <x:c r="L78" s="136" t="str">
        <x:v>Separate order if both alarms</x:v>
      </x:c>
      <x:c r="M78" s="136" t="str">
        <x:v>Match vehicle layout; see 03 for interface verification</x:v>
      </x:c>
      <x:c r="N78" s="136" t="str">
        <x:v>Regional claims require compliance evidence</x:v>
      </x:c>
      <x:c r="O78" s="136" t="str">
        <x:v>SKU/configuration per user reference; formal QA evidence tracked separately in 03</x:v>
      </x:c>
      <x:c r="P78" s="136" t="str">
        <x:v>Product / FAE</x:v>
      </x:c>
      <x:c r="Q78" s="136" t="str">
        <x:v>Not a customer-ready kit until secondary BOM check</x:v>
      </x:c>
      <x:c r="R78" s="136"/>
    </x:row>
    <x:row r="79" ht="55" customHeight="1">
      <x:c r="A79" s="138" t="str">
        <x:v>C08-9</x:v>
      </x:c>
      <x:c r="B79" s="138" t="str">
        <x:v>C08</x:v>
      </x:c>
      <x:c r="C79" s="138" t="str">
        <x:v>C08-09</x:v>
      </x:c>
      <x:c r="D79" s="138" t="str">
        <x:v>BA5 3m waterproof extension (also DW7P)</x:v>
      </x:c>
      <x:c r="E79" s="138" t="str">
        <x:v>Cable</x:v>
      </x:c>
      <x:c r="F79" s="138" t="str">
        <x:v>User confirmed 2026-10-22</x:v>
      </x:c>
      <x:c r="G79" s="138" t="str">
        <x:v>Only if extra 3m run required</x:v>
      </x:c>
      <x:c r="H79" s="138"/>
      <x:c r="I79" s="138" t="str">
        <x:v>By site / solution</x:v>
      </x:c>
      <x:c r="J79" s="139" t="str">
        <x:v>1260010100265</x:v>
      </x:c>
      <x:c r="K79" s="138" t="str">
        <x:v>Confirmed shared 3m M12-4 extension for current BA5-I/O and DW7P</x:v>
      </x:c>
      <x:c r="L79" s="138" t="str">
        <x:v>Separate optional order</x:v>
      </x:c>
      <x:c r="M79" s="138" t="str">
        <x:v>Match vehicle layout; see 03 for interface verification</x:v>
      </x:c>
      <x:c r="N79" s="138" t="str">
        <x:v>Regional claims require compliance evidence</x:v>
      </x:c>
      <x:c r="O79" s="138" t="str">
        <x:v>SKU/configuration per user reference; formal QA evidence tracked separately in 03</x:v>
      </x:c>
      <x:c r="P79" s="138" t="str">
        <x:v>Product / FAE</x:v>
      </x:c>
      <x:c r="Q79" s="138" t="str">
        <x:v>Not a customer-ready kit until secondary BOM check</x:v>
      </x:c>
      <x:c r="R79" s="138"/>
    </x:row>
    <x:row r="80" ht="55" customHeight="1">
      <x:c r="A80" s="136" t="str">
        <x:v>C08-10</x:v>
      </x:c>
      <x:c r="B80" s="136" t="str">
        <x:v>C08</x:v>
      </x:c>
      <x:c r="C80" s="136" t="str">
        <x:v>C08-10</x:v>
      </x:c>
      <x:c r="D80" s="136" t="str">
        <x:v>BA5 7m extension</x:v>
      </x:c>
      <x:c r="E80" s="136" t="str">
        <x:v>Cable</x:v>
      </x:c>
      <x:c r="F80" s="136" t="str">
        <x:v>User confirmed 2026-10-22</x:v>
      </x:c>
      <x:c r="G80" s="136" t="str">
        <x:v>If 7m extension needed by installation</x:v>
      </x:c>
      <x:c r="H80" s="136"/>
      <x:c r="I80" s="136" t="str">
        <x:v>By site / solution</x:v>
      </x:c>
      <x:c r="J80" s="137" t="str">
        <x:v>1260040100475</x:v>
      </x:c>
      <x:c r="K80" s="136" t="str">
        <x:v>Confirmed compatible with current BA5 M12-4 setup</x:v>
      </x:c>
      <x:c r="L80" s="136" t="str">
        <x:v>Separate optional order</x:v>
      </x:c>
      <x:c r="M80" s="136" t="str">
        <x:v>Match vehicle layout; see 03 for interface verification</x:v>
      </x:c>
      <x:c r="N80" s="136" t="str">
        <x:v>Regional claims require compliance evidence</x:v>
      </x:c>
      <x:c r="O80" s="136" t="str">
        <x:v>SKU/configuration per user reference; formal QA evidence tracked separately in 03</x:v>
      </x:c>
      <x:c r="P80" s="136" t="str">
        <x:v>Product / FAE</x:v>
      </x:c>
      <x:c r="Q80" s="136" t="str">
        <x:v>Not a customer-ready kit until secondary BOM check</x:v>
      </x:c>
      <x:c r="R80" s="136"/>
    </x:row>
    <x:row r="81" ht="55" customHeight="1">
      <x:c r="A81" s="138" t="str">
        <x:v>C08-11</x:v>
      </x:c>
      <x:c r="B81" s="138" t="str">
        <x:v>C08</x:v>
      </x:c>
      <x:c r="C81" s="138" t="str">
        <x:v>C08-11</x:v>
      </x:c>
      <x:c r="D81" s="138" t="str">
        <x:v>DP7S with logo — nonwaterproof display</x:v>
      </x:c>
      <x:c r="E81" s="138" t="str">
        <x:v>Display</x:v>
      </x:c>
      <x:c r="F81" s="138" t="str">
        <x:v>User confirmed 2026-10-22</x:v>
      </x:c>
      <x:c r="G81" s="138" t="str">
        <x:v>Display alternative: DP7S only when waterproofing not required; no-logo variant also available</x:v>
      </x:c>
      <x:c r="H81" s="138"/>
      <x:c r="I81" s="138" t="str">
        <x:v>By site / solution</x:v>
      </x:c>
      <x:c r="J81" s="139" t="str">
        <x:v>5146026100001</x:v>
      </x:c>
      <x:c r="K81" s="138" t="str">
        <x:v>Powered by MDVR; alternative DW7P when waterproofing required</x:v>
      </x:c>
      <x:c r="L81" s="138" t="str">
        <x:v>Display alternative</x:v>
      </x:c>
      <x:c r="M81" s="138" t="str">
        <x:v>Match vehicle layout; see 03 for interface verification</x:v>
      </x:c>
      <x:c r="N81" s="138" t="str">
        <x:v>Regional claims require compliance evidence</x:v>
      </x:c>
      <x:c r="O81" s="138" t="str">
        <x:v>SKU/configuration per user reference; formal QA evidence tracked separately in 03</x:v>
      </x:c>
      <x:c r="P81" s="138" t="str">
        <x:v>Product / FAE</x:v>
      </x:c>
      <x:c r="Q81" s="138" t="str">
        <x:v>Not a customer-ready kit until secondary BOM check</x:v>
      </x:c>
      <x:c r="R81" s="138"/>
    </x:row>
    <x:row r="82" ht="55" customHeight="1">
      <x:c r="A82" s="136" t="str">
        <x:v>C08-12</x:v>
      </x:c>
      <x:c r="B82" s="136" t="str">
        <x:v>C08</x:v>
      </x:c>
      <x:c r="C82" s="136" t="str">
        <x:v>C08-12</x:v>
      </x:c>
      <x:c r="D82" s="136" t="str">
        <x:v>DP7S 3m display cable</x:v>
      </x:c>
      <x:c r="E82" s="136" t="str">
        <x:v>Cable</x:v>
      </x:c>
      <x:c r="F82" s="136" t="str">
        <x:v>User confirmed 2026-10-22</x:v>
      </x:c>
      <x:c r="G82" s="136" t="str">
        <x:v>1 per DP7S if DP7S is selected</x:v>
      </x:c>
      <x:c r="H82" s="136"/>
      <x:c r="I82" s="136" t="str">
        <x:v>By site / solution</x:v>
      </x:c>
      <x:c r="J82" s="137" t="str">
        <x:v>1210030000163</x:v>
      </x:c>
      <x:c r="K82" s="136" t="str">
        <x:v>Not included with either DP7S logo variant</x:v>
      </x:c>
      <x:c r="L82" s="136" t="str">
        <x:v>Separate order when DP7S</x:v>
      </x:c>
      <x:c r="M82" s="136" t="str">
        <x:v>Match vehicle layout; see 03 for interface verification</x:v>
      </x:c>
      <x:c r="N82" s="136" t="str">
        <x:v>Regional claims require compliance evidence</x:v>
      </x:c>
      <x:c r="O82" s="136" t="str">
        <x:v>SKU/configuration per user reference; formal QA evidence tracked separately in 03</x:v>
      </x:c>
      <x:c r="P82" s="136" t="str">
        <x:v>Product / FAE</x:v>
      </x:c>
      <x:c r="Q82" s="136" t="str">
        <x:v>Not a customer-ready kit until secondary BOM check</x:v>
      </x:c>
      <x:c r="R82" s="136"/>
    </x:row>
    <x:row r="83" ht="55" customHeight="1">
      <x:c r="A83" s="138" t="str">
        <x:v>C08-13</x:v>
      </x:c>
      <x:c r="B83" s="138" t="str">
        <x:v>C08</x:v>
      </x:c>
      <x:c r="C83" s="138" t="str">
        <x:v>C08-13</x:v>
      </x:c>
      <x:c r="D83" s="138" t="str">
        <x:v>DW7P waterproof display</x:v>
      </x:c>
      <x:c r="E83" s="138" t="str">
        <x:v>Display</x:v>
      </x:c>
      <x:c r="F83" s="138" t="str">
        <x:v>User confirmed 2026-10-22</x:v>
      </x:c>
      <x:c r="G83" s="138" t="str">
        <x:v>Choose DW7P if waterproof display required</x:v>
      </x:c>
      <x:c r="H83" s="138"/>
      <x:c r="I83" s="138" t="str">
        <x:v>By site / solution</x:v>
      </x:c>
      <x:c r="J83" s="139" t="str">
        <x:v>5146054100001</x:v>
      </x:c>
      <x:c r="K83" s="138" t="str">
        <x:v>MDVR or vehicle power; mounting bracket and base cable included; 3m extension separately as needed</x:v>
      </x:c>
      <x:c r="L83" s="138" t="str">
        <x:v>Display alternative</x:v>
      </x:c>
      <x:c r="M83" s="138" t="str">
        <x:v>Match vehicle layout; see 03 for interface verification</x:v>
      </x:c>
      <x:c r="N83" s="138" t="str">
        <x:v>Regional claims require compliance evidence</x:v>
      </x:c>
      <x:c r="O83" s="138" t="str">
        <x:v>SKU/configuration per user reference; formal QA evidence tracked separately in 03</x:v>
      </x:c>
      <x:c r="P83" s="138" t="str">
        <x:v>Product / FAE</x:v>
      </x:c>
      <x:c r="Q83" s="138" t="str">
        <x:v>Not a customer-ready kit until secondary BOM check</x:v>
      </x:c>
      <x:c r="R83" s="138"/>
    </x:row>
    <x:row r="84" ht="55" customHeight="1">
      <x:c r="A84" s="136" t="str">
        <x:v>C08-14</x:v>
      </x:c>
      <x:c r="B84" s="136" t="str">
        <x:v>C08</x:v>
      </x:c>
      <x:c r="C84" s="136" t="str">
        <x:v>C08-14</x:v>
      </x:c>
      <x:c r="D84" s="136" t="str">
        <x:v>M1N power &amp; antenna base accessories</x:v>
      </x:c>
      <x:c r="E84" s="136" t="str">
        <x:v>Kit included</x:v>
      </x:c>
      <x:c r="F84" s="136" t="str">
        <x:v>User confirmed 2026-10-22</x:v>
      </x:c>
      <x:c r="G84" s="136" t="str">
        <x:v>Included in regional host kit; additional purchase = 0</x:v>
      </x:c>
      <x:c r="H84" s="136" t="n">
        <x:v>0</x:v>
      </x:c>
      <x:c r="I84" s="136" t="str">
        <x:v>Per vehicle</x:v>
      </x:c>
      <x:c r="J84" s="137"/>
      <x:c r="K84" s="136" t="str">
        <x:v>Verify exact contents against selected M1N regional host kit</x:v>
      </x:c>
      <x:c r="L84" s="136" t="str">
        <x:v>Included in host kit</x:v>
      </x:c>
      <x:c r="M84" s="136" t="str">
        <x:v>Match vehicle layout; see 03 for interface verification</x:v>
      </x:c>
      <x:c r="N84" s="136" t="str">
        <x:v>Regional claims require compliance evidence</x:v>
      </x:c>
      <x:c r="O84" s="136" t="str">
        <x:v>SKU/configuration per user reference; formal QA evidence tracked separately in 03</x:v>
      </x:c>
      <x:c r="P84" s="136" t="str">
        <x:v>Product / FAE</x:v>
      </x:c>
      <x:c r="Q84" s="136" t="str">
        <x:v>Not a customer-ready kit until secondary BOM check</x:v>
      </x:c>
      <x:c r="R84" s="136"/>
    </x:row>
    <x:row r="85" ht="55" customHeight="1">
      <x:c r="A85" s="138" t="str">
        <x:v>C08-15</x:v>
      </x:c>
      <x:c r="B85" s="138" t="str">
        <x:v>C08</x:v>
      </x:c>
      <x:c r="C85" s="138" t="str">
        <x:v>C08-15</x:v>
      </x:c>
      <x:c r="D85" s="138" t="str">
        <x:v>Easycheck maintenance dongle</x:v>
      </x:c>
      <x:c r="E85" s="138" t="str">
        <x:v>Tools</x:v>
      </x:c>
      <x:c r="F85" s="138" t="str">
        <x:v>User confirmed 2026-10-22</x:v>
      </x:c>
      <x:c r="G85" s="138" t="str">
        <x:v>1 per solution / commissioning team, NOT 1 per vehicle</x:v>
      </x:c>
      <x:c r="H85" s="138"/>
      <x:c r="I85" s="138" t="str">
        <x:v>By site / solution</x:v>
      </x:c>
      <x:c r="J85" s="139" t="str">
        <x:v>5190001000009</x:v>
      </x:c>
      <x:c r="K85" s="138" t="str">
        <x:v>Common Easycheck + Veyes workflow across 2/4/5 camera systems; no extra calibration tool</x:v>
      </x:c>
      <x:c r="L85" s="138" t="str">
        <x:v>Service tool</x:v>
      </x:c>
      <x:c r="M85" s="138" t="str">
        <x:v>Match vehicle layout; see 03 for interface verification</x:v>
      </x:c>
      <x:c r="N85" s="138" t="str">
        <x:v>Regional claims require compliance evidence</x:v>
      </x:c>
      <x:c r="O85" s="138" t="str">
        <x:v>SKU/configuration per user reference; formal QA evidence tracked separately in 03</x:v>
      </x:c>
      <x:c r="P85" s="138" t="str">
        <x:v>Product / FAE</x:v>
      </x:c>
      <x:c r="Q85" s="138" t="str">
        <x:v>Not a customer-ready kit until secondary BOM check</x:v>
      </x:c>
      <x:c r="R85" s="138"/>
    </x:row>
    <x:row r="86" ht="55" customHeight="1">
      <x:c r="A86" s="136" t="str">
        <x:v>C08-16</x:v>
      </x:c>
      <x:c r="B86" s="136" t="str">
        <x:v>C08</x:v>
      </x:c>
      <x:c r="C86" s="136" t="str">
        <x:v>C08-16</x:v>
      </x:c>
      <x:c r="D86" s="136" t="str">
        <x:v>DP7S without logo — alternative</x:v>
      </x:c>
      <x:c r="E86" s="136" t="str">
        <x:v>Display</x:v>
      </x:c>
      <x:c r="F86" s="136" t="str">
        <x:v>User canonical SKU</x:v>
      </x:c>
      <x:c r="G86" s="136" t="str">
        <x:v>Alternative ONLY: if waterproofing not required and no-logo selected</x:v>
      </x:c>
      <x:c r="H86" s="136"/>
      <x:c r="I86" s="136" t="str">
        <x:v>Choose one DP7S version, or DW7P</x:v>
      </x:c>
      <x:c r="J86" s="137" t="str">
        <x:v>5190012100084</x:v>
      </x:c>
      <x:c r="K86" s="136" t="str">
        <x:v>MDVR or independent vehicle power; cable 1210030000163 separate</x:v>
      </x:c>
      <x:c r="L86" s="136" t="str">
        <x:v>Order separately only if selected</x:v>
      </x:c>
      <x:c r="M86" s="136" t="str">
        <x:v>Match the actual MDVR/display power cable</x:v>
      </x:c>
      <x:c r="N86" s="136" t="str">
        <x:v>Regional compliance per product</x:v>
      </x:c>
      <x:c r="O86" s="136" t="str">
        <x:v>Configuration specified; QA separately in 03</x:v>
      </x:c>
      <x:c r="P86" s="136" t="str">
        <x:v>Product / FAE</x:v>
      </x:c>
      <x:c r="Q86" s="136" t="str">
        <x:v>Do NOT quote both DP7S logo versions or DW7P together</x:v>
      </x:c>
      <x:c r="R86" s="136" t="str"/>
    </x:row>
    <x:row r="87" ht="55" customHeight="1">
      <x:c r="A87" s="138" t="str">
        <x:v>C09-1</x:v>
      </x:c>
      <x:c r="B87" s="138" t="str">
        <x:v>C09</x:v>
      </x:c>
      <x:c r="C87" s="138" t="str">
        <x:v>C09-01</x:v>
      </x:c>
      <x:c r="D87" s="138" t="str">
        <x:v>M1N 2.0 regional kit (choose exact regional/enclosure SKU)</x:v>
      </x:c>
      <x:c r="E87" s="138" t="str">
        <x:v>Host</x:v>
      </x:c>
      <x:c r="F87" s="138" t="str">
        <x:v>User confirmed 2026-10-22</x:v>
      </x:c>
      <x:c r="G87" s="138" t="str">
        <x:v>1 host / vehicle; select exact SKU on Regional SKUs</x:v>
      </x:c>
      <x:c r="H87" s="138" t="n">
        <x:v>1</x:v>
      </x:c>
      <x:c r="I87" s="138" t="str">
        <x:v>Per vehicle</x:v>
      </x:c>
      <x:c r="J87" s="139"/>
      <x:c r="K87" s="138" t="str">
        <x:v>Select ONE from six exact M1N regional SKUs in Regional SKUs; do not send blank SKU as order line</x:v>
      </x:c>
      <x:c r="L87" s="138" t="str">
        <x:v>Order regional kit</x:v>
      </x:c>
      <x:c r="M87" s="138" t="str">
        <x:v>Match vehicle layout; see 03 for interface verification</x:v>
      </x:c>
      <x:c r="N87" s="138" t="str">
        <x:v>Regional claims require compliance evidence</x:v>
      </x:c>
      <x:c r="O87" s="138" t="str">
        <x:v>SKU/configuration per user reference; formal QA evidence tracked separately in 03</x:v>
      </x:c>
      <x:c r="P87" s="138" t="str">
        <x:v>Product / FAE</x:v>
      </x:c>
      <x:c r="Q87" s="138" t="str">
        <x:v>Not a customer-ready kit until secondary BOM check</x:v>
      </x:c>
      <x:c r="R87" s="138" t="str">
        <x:v>NA: 5110038100014 / 5110038100037; EU/Asia and LATAM in Regional SKUs</x:v>
      </x:c>
    </x:row>
    <x:row r="88" ht="55" customHeight="1">
      <x:c r="A88" s="136" t="str">
        <x:v>C09-2</x:v>
      </x:c>
      <x:c r="B88" s="136" t="str">
        <x:v>C09</x:v>
      </x:c>
      <x:c r="C88" s="136" t="str">
        <x:v>C09-02</x:v>
      </x:c>
      <x:c r="D88" s="136" t="str">
        <x:v>C46 IPC / RS765-6</x:v>
      </x:c>
      <x:c r="E88" s="136" t="str">
        <x:v>Camera</x:v>
      </x:c>
      <x:c r="F88" s="136" t="str">
        <x:v>User confirmed 2026-10-22</x:v>
      </x:c>
      <x:c r="G88" s="136" t="str">
        <x:v>5 cameras per vehicle</x:v>
      </x:c>
      <x:c r="H88" s="136" t="n">
        <x:v>5</x:v>
      </x:c>
      <x:c r="I88" s="136" t="str">
        <x:v>Per vehicle</x:v>
      </x:c>
      <x:c r="J88" s="137" t="str">
        <x:v>5152178100023</x:v>
      </x:c>
      <x:c r="K88" s="136" t="str">
        <x:v>Standard mount and screws included. Camera RS765-6 output is NOT waterproof.</x:v>
      </x:c>
      <x:c r="L88" s="136" t="str">
        <x:v>Separate order</x:v>
      </x:c>
      <x:c r="M88" s="136" t="str">
        <x:v>Match vehicle layout; see 03 for interface verification</x:v>
      </x:c>
      <x:c r="N88" s="136" t="str">
        <x:v>Regional claims require compliance evidence</x:v>
      </x:c>
      <x:c r="O88" s="136" t="str">
        <x:v>SKU/configuration per user reference; formal QA evidence tracked separately in 03</x:v>
      </x:c>
      <x:c r="P88" s="136" t="str">
        <x:v>Product / FAE</x:v>
      </x:c>
      <x:c r="Q88" s="136" t="str">
        <x:v>Not a customer-ready kit until secondary BOM check</x:v>
      </x:c>
      <x:c r="R88" s="136"/>
    </x:row>
    <x:row r="89" ht="55" customHeight="1">
      <x:c r="A89" s="138" t="str">
        <x:v>C09-3</x:v>
      </x:c>
      <x:c r="B89" s="138" t="str">
        <x:v>C09</x:v>
      </x:c>
      <x:c r="C89" s="138" t="str">
        <x:v>C09-03</x:v>
      </x:c>
      <x:c r="D89" s="138" t="str">
        <x:v>Camera extension 7m EN — reference length</x:v>
      </x:c>
      <x:c r="E89" s="138" t="str">
        <x:v>Cable</x:v>
      </x:c>
      <x:c r="F89" s="138" t="str">
        <x:v>User confirmed 2026-10-22</x:v>
      </x:c>
      <x:c r="G89" s="138" t="str">
        <x:v>Sample length ONLY; select 3/5/7/11/15m based on actual camera run; not automatically 7m</x:v>
      </x:c>
      <x:c r="H89" s="138"/>
      <x:c r="I89" s="138" t="str">
        <x:v>By site / solution</x:v>
      </x:c>
      <x:c r="J89" s="139" t="str">
        <x:v>1260010000353</x:v>
      </x:c>
      <x:c r="K89" s="138" t="str">
        <x:v>Standard cable lengths 3 / 5 / 7 / 11 / 15 m; full SKUs in Camera Cable Options.</x:v>
      </x:c>
      <x:c r="L89" s="138" t="str">
        <x:v>Order if required</x:v>
      </x:c>
      <x:c r="M89" s="138" t="str">
        <x:v>Match vehicle layout; see 03 for interface verification</x:v>
      </x:c>
      <x:c r="N89" s="138" t="str">
        <x:v>Regional claims require compliance evidence</x:v>
      </x:c>
      <x:c r="O89" s="138" t="str">
        <x:v>SKU/configuration per user reference; formal QA evidence tracked separately in 03</x:v>
      </x:c>
      <x:c r="P89" s="138" t="str">
        <x:v>Product / FAE</x:v>
      </x:c>
      <x:c r="Q89" s="138" t="str">
        <x:v>Not a customer-ready kit until secondary BOM check</x:v>
      </x:c>
      <x:c r="R89" s="138"/>
    </x:row>
    <x:row r="90" ht="55" customHeight="1">
      <x:c r="A90" s="136" t="str">
        <x:v>C09-4</x:v>
      </x:c>
      <x:c r="B90" s="136" t="str">
        <x:v>C09</x:v>
      </x:c>
      <x:c r="C90" s="136" t="str">
        <x:v>C09-04</x:v>
      </x:c>
      <x:c r="D90" s="136" t="str">
        <x:v>M1N IPC switch</x:v>
      </x:c>
      <x:c r="E90" s="136" t="str">
        <x:v>Network</x:v>
      </x:c>
      <x:c r="F90" s="136" t="str">
        <x:v>User confirmed 2026-10-22</x:v>
      </x:c>
      <x:c r="G90" s="136" t="str">
        <x:v>Mandatory 1/vehicle</x:v>
      </x:c>
      <x:c r="H90" s="136" t="n">
        <x:v>1</x:v>
      </x:c>
      <x:c r="I90" s="136" t="str">
        <x:v>Per vehicle</x:v>
      </x:c>
      <x:c r="J90" s="137" t="str">
        <x:v>5173002100003</x:v>
      </x:c>
      <x:c r="K90" s="136" t="str">
        <x:v>Per 4/5-camera connection diagram; no extra switch power accessory</x:v>
      </x:c>
      <x:c r="L90" s="136" t="str">
        <x:v>Separate order</x:v>
      </x:c>
      <x:c r="M90" s="136" t="str">
        <x:v>Match vehicle layout; see 03 for interface verification</x:v>
      </x:c>
      <x:c r="N90" s="136" t="str">
        <x:v>Regional claims require compliance evidence</x:v>
      </x:c>
      <x:c r="O90" s="136" t="str">
        <x:v>SKU/configuration per user reference; formal QA evidence tracked separately in 03</x:v>
      </x:c>
      <x:c r="P90" s="136" t="str">
        <x:v>Product / FAE</x:v>
      </x:c>
      <x:c r="Q90" s="136" t="str">
        <x:v>Not a customer-ready kit until secondary BOM check</x:v>
      </x:c>
      <x:c r="R90" s="136"/>
    </x:row>
    <x:row r="91" ht="55" customHeight="1">
      <x:c r="A91" s="138" t="str">
        <x:v>C09-5</x:v>
      </x:c>
      <x:c r="B91" s="138" t="str">
        <x:v>C09</x:v>
      </x:c>
      <x:c r="C91" s="138" t="str">
        <x:v>C09-05</x:v>
      </x:c>
      <x:c r="D91" s="138" t="str">
        <x:v>M1N switch drive cable</x:v>
      </x:c>
      <x:c r="E91" s="138" t="str">
        <x:v>Cable</x:v>
      </x:c>
      <x:c r="F91" s="138" t="str">
        <x:v>User confirmed 2026-10-22</x:v>
      </x:c>
      <x:c r="G91" s="138" t="str">
        <x:v>Mandatory 1/vehicle</x:v>
      </x:c>
      <x:c r="H91" s="138" t="n">
        <x:v>1</x:v>
      </x:c>
      <x:c r="I91" s="138" t="str">
        <x:v>Per vehicle</x:v>
      </x:c>
      <x:c r="J91" s="139" t="str">
        <x:v>1261020000036</x:v>
      </x:c>
      <x:c r="K91" s="138" t="str">
        <x:v>Pair with switch 5173002100003</x:v>
      </x:c>
      <x:c r="L91" s="138" t="str">
        <x:v>Separate order</x:v>
      </x:c>
      <x:c r="M91" s="138" t="str">
        <x:v>Match vehicle layout; see 03 for interface verification</x:v>
      </x:c>
      <x:c r="N91" s="138" t="str">
        <x:v>Regional claims require compliance evidence</x:v>
      </x:c>
      <x:c r="O91" s="138" t="str">
        <x:v>SKU/configuration per user reference; formal QA evidence tracked separately in 03</x:v>
      </x:c>
      <x:c r="P91" s="138" t="str">
        <x:v>Product / FAE</x:v>
      </x:c>
      <x:c r="Q91" s="138" t="str">
        <x:v>Not a customer-ready kit until secondary BOM check</x:v>
      </x:c>
      <x:c r="R91" s="138"/>
    </x:row>
    <x:row r="92" ht="55" customHeight="1">
      <x:c r="A92" s="136" t="str">
        <x:v>C09-6</x:v>
      </x:c>
      <x:c r="B92" s="136" t="str">
        <x:v>C09</x:v>
      </x:c>
      <x:c r="C92" s="136" t="str">
        <x:v>C09-06</x:v>
      </x:c>
      <x:c r="D92" s="136" t="str">
        <x:v>BA5-O current M12-4 external alarm</x:v>
      </x:c>
      <x:c r="E92" s="136" t="str">
        <x:v>Alarm</x:v>
      </x:c>
      <x:c r="F92" s="136" t="str">
        <x:v>User confirmed 2026-10-22</x:v>
      </x:c>
      <x:c r="G92" s="136" t="str">
        <x:v>Standard 1/vehicle</x:v>
      </x:c>
      <x:c r="H92" s="136" t="n">
        <x:v>1</x:v>
      </x:c>
      <x:c r="I92" s="136" t="str">
        <x:v>Per vehicle</x:v>
      </x:c>
      <x:c r="J92" s="137" t="str">
        <x:v>5164003100004</x:v>
      </x:c>
      <x:c r="K92" s="136" t="str">
        <x:v>M12-4 RS485; direct standard harness connection if BA5-O is alone</x:v>
      </x:c>
      <x:c r="L92" s="136" t="str">
        <x:v>Separate order</x:v>
      </x:c>
      <x:c r="M92" s="136" t="str">
        <x:v>Match vehicle layout; see 03 for interface verification</x:v>
      </x:c>
      <x:c r="N92" s="136" t="str">
        <x:v>Regional claims require compliance evidence</x:v>
      </x:c>
      <x:c r="O92" s="136" t="str">
        <x:v>SKU/configuration per user reference; formal QA evidence tracked separately in 03</x:v>
      </x:c>
      <x:c r="P92" s="136" t="str">
        <x:v>Product / FAE</x:v>
      </x:c>
      <x:c r="Q92" s="136" t="str">
        <x:v>Not a customer-ready kit until secondary BOM check</x:v>
      </x:c>
      <x:c r="R92" s="136"/>
    </x:row>
    <x:row r="93" ht="55" customHeight="1">
      <x:c r="A93" s="138" t="str">
        <x:v>C09-7</x:v>
      </x:c>
      <x:c r="B93" s="138" t="str">
        <x:v>C09</x:v>
      </x:c>
      <x:c r="C93" s="138" t="str">
        <x:v>C09-07</x:v>
      </x:c>
      <x:c r="D93" s="138" t="str">
        <x:v>BA5-I current M12-4 directional in-cab alarm</x:v>
      </x:c>
      <x:c r="E93" s="138" t="str">
        <x:v>Alarm</x:v>
      </x:c>
      <x:c r="F93" s="138" t="str">
        <x:v>User confirmed 2026-10-22</x:v>
      </x:c>
      <x:c r="G93" s="138" t="str">
        <x:v>Strongly recommend 1/vehicle when &gt;2 monitored blind spots; optional otherwise</x:v>
      </x:c>
      <x:c r="H93" s="138" t="n">
        <x:v>1</x:v>
      </x:c>
      <x:c r="I93" s="138" t="str">
        <x:v>Per vehicle</x:v>
      </x:c>
      <x:c r="J93" s="139" t="str">
        <x:v>5164002100004</x:v>
      </x:c>
      <x:c r="K93" s="138" t="str">
        <x:v>Four-direction warning indication, 5W speaker; fixed audio</x:v>
      </x:c>
      <x:c r="L93" s="138" t="str">
        <x:v>Separate order when selected</x:v>
      </x:c>
      <x:c r="M93" s="138" t="str">
        <x:v>Match vehicle layout; see 03 for interface verification</x:v>
      </x:c>
      <x:c r="N93" s="138" t="str">
        <x:v>Regional claims require compliance evidence</x:v>
      </x:c>
      <x:c r="O93" s="138" t="str">
        <x:v>SKU/configuration per user reference; formal QA evidence tracked separately in 03</x:v>
      </x:c>
      <x:c r="P93" s="138" t="str">
        <x:v>Product / FAE</x:v>
      </x:c>
      <x:c r="Q93" s="138" t="str">
        <x:v>Not a customer-ready kit until secondary BOM check</x:v>
      </x:c>
      <x:c r="R93" s="138"/>
    </x:row>
    <x:row r="94" ht="55" customHeight="1">
      <x:c r="A94" s="136" t="str">
        <x:v>C09-8</x:v>
      </x:c>
      <x:c r="B94" s="136" t="str">
        <x:v>C09</x:v>
      </x:c>
      <x:c r="C94" s="136" t="str">
        <x:v>C09-08</x:v>
      </x:c>
      <x:c r="D94" s="136" t="str">
        <x:v>BA5-I/O dual-alarm RS485 adapter</x:v>
      </x:c>
      <x:c r="E94" s="136" t="str">
        <x:v>Cable</x:v>
      </x:c>
      <x:c r="F94" s="136" t="str">
        <x:v>User confirmed 2026-10-22</x:v>
      </x:c>
      <x:c r="G94" s="136" t="str">
        <x:v>Mandatory 1/vehicle IF BA5-I and BA5-O both fitted</x:v>
      </x:c>
      <x:c r="H94" s="136"/>
      <x:c r="I94" s="136" t="str">
        <x:v>By site / solution</x:v>
      </x:c>
      <x:c r="J94" s="137" t="str">
        <x:v>1261050100490</x:v>
      </x:c>
      <x:c r="K94" s="136" t="str">
        <x:v>No dedicated adapter when BA5-O alone</x:v>
      </x:c>
      <x:c r="L94" s="136" t="str">
        <x:v>Separate order if both alarms</x:v>
      </x:c>
      <x:c r="M94" s="136" t="str">
        <x:v>Match vehicle layout; see 03 for interface verification</x:v>
      </x:c>
      <x:c r="N94" s="136" t="str">
        <x:v>Regional claims require compliance evidence</x:v>
      </x:c>
      <x:c r="O94" s="136" t="str">
        <x:v>SKU/configuration per user reference; formal QA evidence tracked separately in 03</x:v>
      </x:c>
      <x:c r="P94" s="136" t="str">
        <x:v>Product / FAE</x:v>
      </x:c>
      <x:c r="Q94" s="136" t="str">
        <x:v>Not a customer-ready kit until secondary BOM check</x:v>
      </x:c>
      <x:c r="R94" s="136"/>
    </x:row>
    <x:row r="95" ht="55" customHeight="1">
      <x:c r="A95" s="138" t="str">
        <x:v>C09-9</x:v>
      </x:c>
      <x:c r="B95" s="138" t="str">
        <x:v>C09</x:v>
      </x:c>
      <x:c r="C95" s="138" t="str">
        <x:v>C09-09</x:v>
      </x:c>
      <x:c r="D95" s="138" t="str">
        <x:v>BA5 3m waterproof extension (also DW7P)</x:v>
      </x:c>
      <x:c r="E95" s="138" t="str">
        <x:v>Cable</x:v>
      </x:c>
      <x:c r="F95" s="138" t="str">
        <x:v>User confirmed 2026-10-22</x:v>
      </x:c>
      <x:c r="G95" s="138" t="str">
        <x:v>Only if extra 3m run required</x:v>
      </x:c>
      <x:c r="H95" s="138"/>
      <x:c r="I95" s="138" t="str">
        <x:v>By site / solution</x:v>
      </x:c>
      <x:c r="J95" s="139" t="str">
        <x:v>1260010100265</x:v>
      </x:c>
      <x:c r="K95" s="138" t="str">
        <x:v>Confirmed shared 3m M12-4 extension for current BA5-I/O and DW7P</x:v>
      </x:c>
      <x:c r="L95" s="138" t="str">
        <x:v>Separate optional order</x:v>
      </x:c>
      <x:c r="M95" s="138" t="str">
        <x:v>Match vehicle layout; see 03 for interface verification</x:v>
      </x:c>
      <x:c r="N95" s="138" t="str">
        <x:v>Regional claims require compliance evidence</x:v>
      </x:c>
      <x:c r="O95" s="138" t="str">
        <x:v>SKU/configuration per user reference; formal QA evidence tracked separately in 03</x:v>
      </x:c>
      <x:c r="P95" s="138" t="str">
        <x:v>Product / FAE</x:v>
      </x:c>
      <x:c r="Q95" s="138" t="str">
        <x:v>Not a customer-ready kit until secondary BOM check</x:v>
      </x:c>
      <x:c r="R95" s="138"/>
    </x:row>
    <x:row r="96" ht="55" customHeight="1">
      <x:c r="A96" s="136" t="str">
        <x:v>C09-10</x:v>
      </x:c>
      <x:c r="B96" s="136" t="str">
        <x:v>C09</x:v>
      </x:c>
      <x:c r="C96" s="136" t="str">
        <x:v>C09-10</x:v>
      </x:c>
      <x:c r="D96" s="136" t="str">
        <x:v>BA5 7m extension</x:v>
      </x:c>
      <x:c r="E96" s="136" t="str">
        <x:v>Cable</x:v>
      </x:c>
      <x:c r="F96" s="136" t="str">
        <x:v>User confirmed 2026-10-22</x:v>
      </x:c>
      <x:c r="G96" s="136" t="str">
        <x:v>If 7m extension needed by installation</x:v>
      </x:c>
      <x:c r="H96" s="136"/>
      <x:c r="I96" s="136" t="str">
        <x:v>By site / solution</x:v>
      </x:c>
      <x:c r="J96" s="137" t="str">
        <x:v>1260040100475</x:v>
      </x:c>
      <x:c r="K96" s="136" t="str">
        <x:v>Confirmed compatible with current BA5 M12-4 setup</x:v>
      </x:c>
      <x:c r="L96" s="136" t="str">
        <x:v>Separate optional order</x:v>
      </x:c>
      <x:c r="M96" s="136" t="str">
        <x:v>Match vehicle layout; see 03 for interface verification</x:v>
      </x:c>
      <x:c r="N96" s="136" t="str">
        <x:v>Regional claims require compliance evidence</x:v>
      </x:c>
      <x:c r="O96" s="136" t="str">
        <x:v>SKU/configuration per user reference; formal QA evidence tracked separately in 03</x:v>
      </x:c>
      <x:c r="P96" s="136" t="str">
        <x:v>Product / FAE</x:v>
      </x:c>
      <x:c r="Q96" s="136" t="str">
        <x:v>Not a customer-ready kit until secondary BOM check</x:v>
      </x:c>
      <x:c r="R96" s="136"/>
    </x:row>
    <x:row r="97" ht="55" customHeight="1">
      <x:c r="A97" s="138" t="str">
        <x:v>C09-11</x:v>
      </x:c>
      <x:c r="B97" s="138" t="str">
        <x:v>C09</x:v>
      </x:c>
      <x:c r="C97" s="138" t="str">
        <x:v>C09-11</x:v>
      </x:c>
      <x:c r="D97" s="138" t="str">
        <x:v>DP7S with logo — nonwaterproof display</x:v>
      </x:c>
      <x:c r="E97" s="138" t="str">
        <x:v>Display</x:v>
      </x:c>
      <x:c r="F97" s="138" t="str">
        <x:v>User confirmed 2026-10-22</x:v>
      </x:c>
      <x:c r="G97" s="138" t="str">
        <x:v>Display alternative: DP7S only when waterproofing not required; no-logo variant also available</x:v>
      </x:c>
      <x:c r="H97" s="138"/>
      <x:c r="I97" s="138" t="str">
        <x:v>By site / solution</x:v>
      </x:c>
      <x:c r="J97" s="139" t="str">
        <x:v>5146026100001</x:v>
      </x:c>
      <x:c r="K97" s="138" t="str">
        <x:v>Powered by MDVR; alternative DW7P when waterproofing required</x:v>
      </x:c>
      <x:c r="L97" s="138" t="str">
        <x:v>Display alternative</x:v>
      </x:c>
      <x:c r="M97" s="138" t="str">
        <x:v>Match vehicle layout; see 03 for interface verification</x:v>
      </x:c>
      <x:c r="N97" s="138" t="str">
        <x:v>Regional claims require compliance evidence</x:v>
      </x:c>
      <x:c r="O97" s="138" t="str">
        <x:v>SKU/configuration per user reference; formal QA evidence tracked separately in 03</x:v>
      </x:c>
      <x:c r="P97" s="138" t="str">
        <x:v>Product / FAE</x:v>
      </x:c>
      <x:c r="Q97" s="138" t="str">
        <x:v>Not a customer-ready kit until secondary BOM check</x:v>
      </x:c>
      <x:c r="R97" s="138"/>
    </x:row>
    <x:row r="98" ht="55" customHeight="1">
      <x:c r="A98" s="136" t="str">
        <x:v>C09-12</x:v>
      </x:c>
      <x:c r="B98" s="136" t="str">
        <x:v>C09</x:v>
      </x:c>
      <x:c r="C98" s="136" t="str">
        <x:v>C09-12</x:v>
      </x:c>
      <x:c r="D98" s="136" t="str">
        <x:v>DP7S 3m display cable</x:v>
      </x:c>
      <x:c r="E98" s="136" t="str">
        <x:v>Cable</x:v>
      </x:c>
      <x:c r="F98" s="136" t="str">
        <x:v>User confirmed 2026-10-22</x:v>
      </x:c>
      <x:c r="G98" s="136" t="str">
        <x:v>1 per DP7S if DP7S is selected</x:v>
      </x:c>
      <x:c r="H98" s="136"/>
      <x:c r="I98" s="136" t="str">
        <x:v>By site / solution</x:v>
      </x:c>
      <x:c r="J98" s="137" t="str">
        <x:v>1210030000163</x:v>
      </x:c>
      <x:c r="K98" s="136" t="str">
        <x:v>Not included with either DP7S logo variant</x:v>
      </x:c>
      <x:c r="L98" s="136" t="str">
        <x:v>Separate order when DP7S</x:v>
      </x:c>
      <x:c r="M98" s="136" t="str">
        <x:v>Match vehicle layout; see 03 for interface verification</x:v>
      </x:c>
      <x:c r="N98" s="136" t="str">
        <x:v>Regional claims require compliance evidence</x:v>
      </x:c>
      <x:c r="O98" s="136" t="str">
        <x:v>SKU/configuration per user reference; formal QA evidence tracked separately in 03</x:v>
      </x:c>
      <x:c r="P98" s="136" t="str">
        <x:v>Product / FAE</x:v>
      </x:c>
      <x:c r="Q98" s="136" t="str">
        <x:v>Not a customer-ready kit until secondary BOM check</x:v>
      </x:c>
      <x:c r="R98" s="136"/>
    </x:row>
    <x:row r="99" ht="55" customHeight="1">
      <x:c r="A99" s="138" t="str">
        <x:v>C09-13</x:v>
      </x:c>
      <x:c r="B99" s="138" t="str">
        <x:v>C09</x:v>
      </x:c>
      <x:c r="C99" s="138" t="str">
        <x:v>C09-13</x:v>
      </x:c>
      <x:c r="D99" s="138" t="str">
        <x:v>DW7P waterproof display</x:v>
      </x:c>
      <x:c r="E99" s="138" t="str">
        <x:v>Display</x:v>
      </x:c>
      <x:c r="F99" s="138" t="str">
        <x:v>User confirmed 2026-10-22</x:v>
      </x:c>
      <x:c r="G99" s="138" t="str">
        <x:v>Choose DW7P if waterproof display required</x:v>
      </x:c>
      <x:c r="H99" s="138"/>
      <x:c r="I99" s="138" t="str">
        <x:v>By site / solution</x:v>
      </x:c>
      <x:c r="J99" s="139" t="str">
        <x:v>5146054100001</x:v>
      </x:c>
      <x:c r="K99" s="138" t="str">
        <x:v>MDVR or vehicle power; mounting bracket and base cable included; 3m extension separately as needed</x:v>
      </x:c>
      <x:c r="L99" s="138" t="str">
        <x:v>Display alternative</x:v>
      </x:c>
      <x:c r="M99" s="138" t="str">
        <x:v>Match vehicle layout; see 03 for interface verification</x:v>
      </x:c>
      <x:c r="N99" s="138" t="str">
        <x:v>Regional claims require compliance evidence</x:v>
      </x:c>
      <x:c r="O99" s="138" t="str">
        <x:v>SKU/configuration per user reference; formal QA evidence tracked separately in 03</x:v>
      </x:c>
      <x:c r="P99" s="138" t="str">
        <x:v>Product / FAE</x:v>
      </x:c>
      <x:c r="Q99" s="138" t="str">
        <x:v>Not a customer-ready kit until secondary BOM check</x:v>
      </x:c>
      <x:c r="R99" s="138"/>
    </x:row>
    <x:row r="100" ht="55" customHeight="1">
      <x:c r="A100" s="136" t="str">
        <x:v>C09-14</x:v>
      </x:c>
      <x:c r="B100" s="136" t="str">
        <x:v>C09</x:v>
      </x:c>
      <x:c r="C100" s="136" t="str">
        <x:v>C09-14</x:v>
      </x:c>
      <x:c r="D100" s="136" t="str">
        <x:v>M1N power &amp; antenna base accessories</x:v>
      </x:c>
      <x:c r="E100" s="136" t="str">
        <x:v>Kit included</x:v>
      </x:c>
      <x:c r="F100" s="136" t="str">
        <x:v>User confirmed 2026-10-22</x:v>
      </x:c>
      <x:c r="G100" s="136" t="str">
        <x:v>Included in regional host kit; additional purchase = 0</x:v>
      </x:c>
      <x:c r="H100" s="136" t="n">
        <x:v>0</x:v>
      </x:c>
      <x:c r="I100" s="136" t="str">
        <x:v>Per vehicle</x:v>
      </x:c>
      <x:c r="J100" s="137"/>
      <x:c r="K100" s="136" t="str">
        <x:v>Verify exact contents against selected M1N regional host kit</x:v>
      </x:c>
      <x:c r="L100" s="136" t="str">
        <x:v>Included in host kit</x:v>
      </x:c>
      <x:c r="M100" s="136" t="str">
        <x:v>Match vehicle layout; see 03 for interface verification</x:v>
      </x:c>
      <x:c r="N100" s="136" t="str">
        <x:v>Regional claims require compliance evidence</x:v>
      </x:c>
      <x:c r="O100" s="136" t="str">
        <x:v>SKU/configuration per user reference; formal QA evidence tracked separately in 03</x:v>
      </x:c>
      <x:c r="P100" s="136" t="str">
        <x:v>Product / FAE</x:v>
      </x:c>
      <x:c r="Q100" s="136" t="str">
        <x:v>Not a customer-ready kit until secondary BOM check</x:v>
      </x:c>
      <x:c r="R100" s="136"/>
    </x:row>
    <x:row r="101" ht="55" customHeight="1">
      <x:c r="A101" s="138" t="str">
        <x:v>C09-15</x:v>
      </x:c>
      <x:c r="B101" s="138" t="str">
        <x:v>C09</x:v>
      </x:c>
      <x:c r="C101" s="138" t="str">
        <x:v>C09-15</x:v>
      </x:c>
      <x:c r="D101" s="138" t="str">
        <x:v>Easycheck maintenance dongle</x:v>
      </x:c>
      <x:c r="E101" s="138" t="str">
        <x:v>Tools</x:v>
      </x:c>
      <x:c r="F101" s="138" t="str">
        <x:v>User confirmed 2026-10-22</x:v>
      </x:c>
      <x:c r="G101" s="138" t="str">
        <x:v>1 per solution / commissioning team, NOT 1 per vehicle</x:v>
      </x:c>
      <x:c r="H101" s="138"/>
      <x:c r="I101" s="138" t="str">
        <x:v>By site / solution</x:v>
      </x:c>
      <x:c r="J101" s="139" t="str">
        <x:v>5190001000009</x:v>
      </x:c>
      <x:c r="K101" s="138" t="str">
        <x:v>Common Easycheck + Veyes workflow across 2/4/5 camera systems; no extra calibration tool</x:v>
      </x:c>
      <x:c r="L101" s="138" t="str">
        <x:v>Service tool</x:v>
      </x:c>
      <x:c r="M101" s="138" t="str">
        <x:v>Match vehicle layout; see 03 for interface verification</x:v>
      </x:c>
      <x:c r="N101" s="138" t="str">
        <x:v>Regional claims require compliance evidence</x:v>
      </x:c>
      <x:c r="O101" s="138" t="str">
        <x:v>SKU/configuration per user reference; formal QA evidence tracked separately in 03</x:v>
      </x:c>
      <x:c r="P101" s="138" t="str">
        <x:v>Product / FAE</x:v>
      </x:c>
      <x:c r="Q101" s="138" t="str">
        <x:v>Not a customer-ready kit until secondary BOM check</x:v>
      </x:c>
      <x:c r="R101" s="138"/>
    </x:row>
    <x:row r="102" ht="55" customHeight="1">
      <x:c r="A102" s="136" t="str">
        <x:v>C09-16</x:v>
      </x:c>
      <x:c r="B102" s="136" t="str">
        <x:v>C09</x:v>
      </x:c>
      <x:c r="C102" s="136" t="str">
        <x:v>C09-16</x:v>
      </x:c>
      <x:c r="D102" s="136" t="str">
        <x:v>DP7S without logo — alternative</x:v>
      </x:c>
      <x:c r="E102" s="136" t="str">
        <x:v>Display</x:v>
      </x:c>
      <x:c r="F102" s="136" t="str">
        <x:v>User canonical SKU</x:v>
      </x:c>
      <x:c r="G102" s="136" t="str">
        <x:v>Alternative ONLY: if waterproofing not required and no-logo selected</x:v>
      </x:c>
      <x:c r="H102" s="136"/>
      <x:c r="I102" s="136" t="str">
        <x:v>Choose one DP7S version, or DW7P</x:v>
      </x:c>
      <x:c r="J102" s="137" t="str">
        <x:v>5190012100084</x:v>
      </x:c>
      <x:c r="K102" s="136" t="str">
        <x:v>MDVR or independent vehicle power; cable 1210030000163 separate</x:v>
      </x:c>
      <x:c r="L102" s="136" t="str">
        <x:v>Order separately only if selected</x:v>
      </x:c>
      <x:c r="M102" s="136" t="str">
        <x:v>Match the actual MDVR/display power cable</x:v>
      </x:c>
      <x:c r="N102" s="136" t="str">
        <x:v>Regional compliance per product</x:v>
      </x:c>
      <x:c r="O102" s="136" t="str">
        <x:v>Configuration specified; QA separately in 03</x:v>
      </x:c>
      <x:c r="P102" s="136" t="str">
        <x:v>Product / FAE</x:v>
      </x:c>
      <x:c r="Q102" s="136" t="str">
        <x:v>Do NOT quote both DP7S logo versions or DW7P together</x:v>
      </x:c>
      <x:c r="R102" s="136" t="str"/>
    </x:row>
    <x:row r="103" ht="55" customHeight="1">
      <x:c r="A103" s="138" t="str">
        <x:v>C10-1</x:v>
      </x:c>
      <x:c r="B103" s="138" t="str">
        <x:v>C10</x:v>
      </x:c>
      <x:c r="C103" s="138" t="str">
        <x:v>C10-01</x:v>
      </x:c>
      <x:c r="D103" s="138" t="str">
        <x:v>M3N H0204 EU/Asia kit</x:v>
      </x:c>
      <x:c r="E103" s="138" t="str">
        <x:v>Host</x:v>
      </x:c>
      <x:c r="F103" s="138" t="str">
        <x:v>User confirmed 2026-10-22</x:v>
      </x:c>
      <x:c r="G103" s="138" t="str">
        <x:v>1 host kit / vehicle</x:v>
      </x:c>
      <x:c r="H103" s="138" t="n">
        <x:v>1</x:v>
      </x:c>
      <x:c r="I103" s="138" t="str">
        <x:v>Per vehicle</x:v>
      </x:c>
      <x:c r="J103" s="139" t="str">
        <x:v>5120182100013</x:v>
      </x:c>
      <x:c r="K103" s="138" t="str">
        <x:v>H0204 includes 1 TB SSD, 20-pin harness; no MicroSD cards</x:v>
      </x:c>
      <x:c r="L103" s="138" t="str">
        <x:v>Order kit</x:v>
      </x:c>
      <x:c r="M103" s="138" t="str">
        <x:v>Match vehicle layout; see 03 for interface verification</x:v>
      </x:c>
      <x:c r="N103" s="138" t="str">
        <x:v>Regional claims require compliance evidence</x:v>
      </x:c>
      <x:c r="O103" s="138" t="str">
        <x:v>SKU/configuration per user reference; formal QA evidence tracked separately in 03</x:v>
      </x:c>
      <x:c r="P103" s="138" t="str">
        <x:v>Product / FAE</x:v>
      </x:c>
      <x:c r="Q103" s="138" t="str">
        <x:v>Not a customer-ready kit until secondary BOM check</x:v>
      </x:c>
      <x:c r="R103" s="138"/>
    </x:row>
    <x:row r="104" ht="55" customHeight="1">
      <x:c r="A104" s="136" t="str">
        <x:v>C10-2</x:v>
      </x:c>
      <x:c r="B104" s="136" t="str">
        <x:v>C10</x:v>
      </x:c>
      <x:c r="C104" s="136" t="str">
        <x:v>C10-02</x:v>
      </x:c>
      <x:c r="D104" s="136" t="str">
        <x:v>C46 IPC / RS765-6</x:v>
      </x:c>
      <x:c r="E104" s="136" t="str">
        <x:v>Camera</x:v>
      </x:c>
      <x:c r="F104" s="136" t="str">
        <x:v>User confirmed 2026-10-22</x:v>
      </x:c>
      <x:c r="G104" s="136" t="str">
        <x:v>4 cameras per vehicle</x:v>
      </x:c>
      <x:c r="H104" s="136" t="n">
        <x:v>4</x:v>
      </x:c>
      <x:c r="I104" s="136" t="str">
        <x:v>Per vehicle</x:v>
      </x:c>
      <x:c r="J104" s="137" t="str">
        <x:v>5152178100023</x:v>
      </x:c>
      <x:c r="K104" s="136" t="str">
        <x:v>Standard mount and screws included. Camera RS765-6 output is NOT waterproof.</x:v>
      </x:c>
      <x:c r="L104" s="136" t="str">
        <x:v>Separate order</x:v>
      </x:c>
      <x:c r="M104" s="136" t="str">
        <x:v>Match vehicle layout; see 03 for interface verification</x:v>
      </x:c>
      <x:c r="N104" s="136" t="str">
        <x:v>Regional claims require compliance evidence</x:v>
      </x:c>
      <x:c r="O104" s="136" t="str">
        <x:v>SKU/configuration per user reference; formal QA evidence tracked separately in 03</x:v>
      </x:c>
      <x:c r="P104" s="136" t="str">
        <x:v>Product / FAE</x:v>
      </x:c>
      <x:c r="Q104" s="136" t="str">
        <x:v>Not a customer-ready kit until secondary BOM check</x:v>
      </x:c>
      <x:c r="R104" s="136"/>
    </x:row>
    <x:row r="105" ht="55" customHeight="1">
      <x:c r="A105" s="138" t="str">
        <x:v>C10-3</x:v>
      </x:c>
      <x:c r="B105" s="138" t="str">
        <x:v>C10</x:v>
      </x:c>
      <x:c r="C105" s="138" t="str">
        <x:v>C10-03</x:v>
      </x:c>
      <x:c r="D105" s="138" t="str">
        <x:v>Camera extension 7m EN — reference length</x:v>
      </x:c>
      <x:c r="E105" s="138" t="str">
        <x:v>Cable</x:v>
      </x:c>
      <x:c r="F105" s="138" t="str">
        <x:v>User confirmed 2026-10-22</x:v>
      </x:c>
      <x:c r="G105" s="138" t="str">
        <x:v>Sample length ONLY; select 3/5/7/11/15m based on actual camera run; not automatically 7m</x:v>
      </x:c>
      <x:c r="H105" s="138"/>
      <x:c r="I105" s="138" t="str">
        <x:v>By site / solution</x:v>
      </x:c>
      <x:c r="J105" s="139" t="str">
        <x:v>1260010000353</x:v>
      </x:c>
      <x:c r="K105" s="138" t="str">
        <x:v>Standard cable lengths 3 / 5 / 7 / 11 / 15 m; full SKUs in Camera Cable Options.</x:v>
      </x:c>
      <x:c r="L105" s="138" t="str">
        <x:v>Order if required</x:v>
      </x:c>
      <x:c r="M105" s="138" t="str">
        <x:v>Match vehicle layout; see 03 for interface verification</x:v>
      </x:c>
      <x:c r="N105" s="138" t="str">
        <x:v>Regional claims require compliance evidence</x:v>
      </x:c>
      <x:c r="O105" s="138" t="str">
        <x:v>SKU/configuration per user reference; formal QA evidence tracked separately in 03</x:v>
      </x:c>
      <x:c r="P105" s="138" t="str">
        <x:v>Product / FAE</x:v>
      </x:c>
      <x:c r="Q105" s="138" t="str">
        <x:v>Not a customer-ready kit until secondary BOM check</x:v>
      </x:c>
      <x:c r="R105" s="138"/>
    </x:row>
    <x:row r="106" ht="55" customHeight="1">
      <x:c r="A106" s="136" t="str">
        <x:v>C10-4</x:v>
      </x:c>
      <x:c r="B106" s="136" t="str">
        <x:v>C10</x:v>
      </x:c>
      <x:c r="C106" s="136" t="str">
        <x:v>C10-04</x:v>
      </x:c>
      <x:c r="D106" s="136" t="str">
        <x:v>BA5-O current M12-4 external alarm</x:v>
      </x:c>
      <x:c r="E106" s="136" t="str">
        <x:v>Alarm</x:v>
      </x:c>
      <x:c r="F106" s="136" t="str">
        <x:v>User confirmed 2026-10-22</x:v>
      </x:c>
      <x:c r="G106" s="136" t="str">
        <x:v>Standard 1/vehicle</x:v>
      </x:c>
      <x:c r="H106" s="136" t="n">
        <x:v>1</x:v>
      </x:c>
      <x:c r="I106" s="136" t="str">
        <x:v>Per vehicle</x:v>
      </x:c>
      <x:c r="J106" s="137" t="str">
        <x:v>5164003100004</x:v>
      </x:c>
      <x:c r="K106" s="136" t="str">
        <x:v>M12-4 RS485; direct standard harness connection if BA5-O is alone</x:v>
      </x:c>
      <x:c r="L106" s="136" t="str">
        <x:v>Separate order</x:v>
      </x:c>
      <x:c r="M106" s="136" t="str">
        <x:v>Match vehicle layout; see 03 for interface verification</x:v>
      </x:c>
      <x:c r="N106" s="136" t="str">
        <x:v>Regional claims require compliance evidence</x:v>
      </x:c>
      <x:c r="O106" s="136" t="str">
        <x:v>SKU/configuration per user reference; formal QA evidence tracked separately in 03</x:v>
      </x:c>
      <x:c r="P106" s="136" t="str">
        <x:v>Product / FAE</x:v>
      </x:c>
      <x:c r="Q106" s="136" t="str">
        <x:v>Not a customer-ready kit until secondary BOM check</x:v>
      </x:c>
      <x:c r="R106" s="136"/>
    </x:row>
    <x:row r="107" ht="55" customHeight="1">
      <x:c r="A107" s="138" t="str">
        <x:v>C10-5</x:v>
      </x:c>
      <x:c r="B107" s="138" t="str">
        <x:v>C10</x:v>
      </x:c>
      <x:c r="C107" s="138" t="str">
        <x:v>C10-05</x:v>
      </x:c>
      <x:c r="D107" s="138" t="str">
        <x:v>BA5-I current M12-4 directional in-cab alarm</x:v>
      </x:c>
      <x:c r="E107" s="138" t="str">
        <x:v>Alarm</x:v>
      </x:c>
      <x:c r="F107" s="138" t="str">
        <x:v>User confirmed 2026-10-22</x:v>
      </x:c>
      <x:c r="G107" s="138" t="str">
        <x:v>Strongly recommend 1/vehicle when &gt;2 monitored blind spots; optional otherwise</x:v>
      </x:c>
      <x:c r="H107" s="138" t="n">
        <x:v>1</x:v>
      </x:c>
      <x:c r="I107" s="138" t="str">
        <x:v>Per vehicle</x:v>
      </x:c>
      <x:c r="J107" s="139" t="str">
        <x:v>5164002100004</x:v>
      </x:c>
      <x:c r="K107" s="138" t="str">
        <x:v>Four-direction warning indication, 5W speaker; fixed audio</x:v>
      </x:c>
      <x:c r="L107" s="138" t="str">
        <x:v>Separate order when selected</x:v>
      </x:c>
      <x:c r="M107" s="138" t="str">
        <x:v>Match vehicle layout; see 03 for interface verification</x:v>
      </x:c>
      <x:c r="N107" s="138" t="str">
        <x:v>Regional claims require compliance evidence</x:v>
      </x:c>
      <x:c r="O107" s="138" t="str">
        <x:v>SKU/configuration per user reference; formal QA evidence tracked separately in 03</x:v>
      </x:c>
      <x:c r="P107" s="138" t="str">
        <x:v>Product / FAE</x:v>
      </x:c>
      <x:c r="Q107" s="138" t="str">
        <x:v>Not a customer-ready kit until secondary BOM check</x:v>
      </x:c>
      <x:c r="R107" s="138"/>
    </x:row>
    <x:row r="108" ht="55" customHeight="1">
      <x:c r="A108" s="136" t="str">
        <x:v>C10-6</x:v>
      </x:c>
      <x:c r="B108" s="136" t="str">
        <x:v>C10</x:v>
      </x:c>
      <x:c r="C108" s="136" t="str">
        <x:v>C10-06</x:v>
      </x:c>
      <x:c r="D108" s="136" t="str">
        <x:v>BA5-I/O dual-alarm RS485 adapter</x:v>
      </x:c>
      <x:c r="E108" s="136" t="str">
        <x:v>Cable</x:v>
      </x:c>
      <x:c r="F108" s="136" t="str">
        <x:v>User confirmed 2026-10-22</x:v>
      </x:c>
      <x:c r="G108" s="136" t="str">
        <x:v>Mandatory 1/vehicle IF BA5-I and BA5-O both fitted</x:v>
      </x:c>
      <x:c r="H108" s="136"/>
      <x:c r="I108" s="136" t="str">
        <x:v>By site / solution</x:v>
      </x:c>
      <x:c r="J108" s="137" t="str">
        <x:v>1261050100490</x:v>
      </x:c>
      <x:c r="K108" s="136" t="str">
        <x:v>No dedicated adapter when BA5-O alone</x:v>
      </x:c>
      <x:c r="L108" s="136" t="str">
        <x:v>Separate order if both alarms</x:v>
      </x:c>
      <x:c r="M108" s="136" t="str">
        <x:v>Match vehicle layout; see 03 for interface verification</x:v>
      </x:c>
      <x:c r="N108" s="136" t="str">
        <x:v>Regional claims require compliance evidence</x:v>
      </x:c>
      <x:c r="O108" s="136" t="str">
        <x:v>SKU/configuration per user reference; formal QA evidence tracked separately in 03</x:v>
      </x:c>
      <x:c r="P108" s="136" t="str">
        <x:v>Product / FAE</x:v>
      </x:c>
      <x:c r="Q108" s="136" t="str">
        <x:v>Not a customer-ready kit until secondary BOM check</x:v>
      </x:c>
      <x:c r="R108" s="136"/>
    </x:row>
    <x:row r="109" ht="55" customHeight="1">
      <x:c r="A109" s="138" t="str">
        <x:v>C10-7</x:v>
      </x:c>
      <x:c r="B109" s="138" t="str">
        <x:v>C10</x:v>
      </x:c>
      <x:c r="C109" s="138" t="str">
        <x:v>C10-07</x:v>
      </x:c>
      <x:c r="D109" s="138" t="str">
        <x:v>BA5 3m waterproof extension (also DW7P)</x:v>
      </x:c>
      <x:c r="E109" s="138" t="str">
        <x:v>Cable</x:v>
      </x:c>
      <x:c r="F109" s="138" t="str">
        <x:v>User confirmed 2026-10-22</x:v>
      </x:c>
      <x:c r="G109" s="138" t="str">
        <x:v>Only if extra 3m run required</x:v>
      </x:c>
      <x:c r="H109" s="138"/>
      <x:c r="I109" s="138" t="str">
        <x:v>By site / solution</x:v>
      </x:c>
      <x:c r="J109" s="139" t="str">
        <x:v>1260010100265</x:v>
      </x:c>
      <x:c r="K109" s="138" t="str">
        <x:v>Confirmed shared 3m M12-4 extension for current BA5-I/O and DW7P</x:v>
      </x:c>
      <x:c r="L109" s="138" t="str">
        <x:v>Separate optional order</x:v>
      </x:c>
      <x:c r="M109" s="138" t="str">
        <x:v>Match vehicle layout; see 03 for interface verification</x:v>
      </x:c>
      <x:c r="N109" s="138" t="str">
        <x:v>Regional claims require compliance evidence</x:v>
      </x:c>
      <x:c r="O109" s="138" t="str">
        <x:v>SKU/configuration per user reference; formal QA evidence tracked separately in 03</x:v>
      </x:c>
      <x:c r="P109" s="138" t="str">
        <x:v>Product / FAE</x:v>
      </x:c>
      <x:c r="Q109" s="138" t="str">
        <x:v>Not a customer-ready kit until secondary BOM check</x:v>
      </x:c>
      <x:c r="R109" s="138"/>
    </x:row>
    <x:row r="110" ht="55" customHeight="1">
      <x:c r="A110" s="136" t="str">
        <x:v>C10-8</x:v>
      </x:c>
      <x:c r="B110" s="136" t="str">
        <x:v>C10</x:v>
      </x:c>
      <x:c r="C110" s="136" t="str">
        <x:v>C10-08</x:v>
      </x:c>
      <x:c r="D110" s="136" t="str">
        <x:v>BA5 7m extension</x:v>
      </x:c>
      <x:c r="E110" s="136" t="str">
        <x:v>Cable</x:v>
      </x:c>
      <x:c r="F110" s="136" t="str">
        <x:v>User confirmed 2026-10-22</x:v>
      </x:c>
      <x:c r="G110" s="136" t="str">
        <x:v>If 7m extension needed by installation</x:v>
      </x:c>
      <x:c r="H110" s="136"/>
      <x:c r="I110" s="136" t="str">
        <x:v>By site / solution</x:v>
      </x:c>
      <x:c r="J110" s="137" t="str">
        <x:v>1260040100475</x:v>
      </x:c>
      <x:c r="K110" s="136" t="str">
        <x:v>Confirmed compatible with current BA5 M12-4 setup</x:v>
      </x:c>
      <x:c r="L110" s="136" t="str">
        <x:v>Separate optional order</x:v>
      </x:c>
      <x:c r="M110" s="136" t="str">
        <x:v>Match vehicle layout; see 03 for interface verification</x:v>
      </x:c>
      <x:c r="N110" s="136" t="str">
        <x:v>Regional claims require compliance evidence</x:v>
      </x:c>
      <x:c r="O110" s="136" t="str">
        <x:v>SKU/configuration per user reference; formal QA evidence tracked separately in 03</x:v>
      </x:c>
      <x:c r="P110" s="136" t="str">
        <x:v>Product / FAE</x:v>
      </x:c>
      <x:c r="Q110" s="136" t="str">
        <x:v>Not a customer-ready kit until secondary BOM check</x:v>
      </x:c>
      <x:c r="R110" s="136"/>
    </x:row>
    <x:row r="111" ht="55" customHeight="1">
      <x:c r="A111" s="138" t="str">
        <x:v>C10-9</x:v>
      </x:c>
      <x:c r="B111" s="138" t="str">
        <x:v>C10</x:v>
      </x:c>
      <x:c r="C111" s="138" t="str">
        <x:v>C10-09</x:v>
      </x:c>
      <x:c r="D111" s="138" t="str">
        <x:v>DP7S with logo — nonwaterproof display</x:v>
      </x:c>
      <x:c r="E111" s="138" t="str">
        <x:v>Display</x:v>
      </x:c>
      <x:c r="F111" s="138" t="str">
        <x:v>User confirmed 2026-10-22</x:v>
      </x:c>
      <x:c r="G111" s="138" t="str">
        <x:v>Display alternative: DP7S only when waterproofing not required; no-logo variant also available</x:v>
      </x:c>
      <x:c r="H111" s="138"/>
      <x:c r="I111" s="138" t="str">
        <x:v>By site / solution</x:v>
      </x:c>
      <x:c r="J111" s="139" t="str">
        <x:v>5146026100001</x:v>
      </x:c>
      <x:c r="K111" s="138" t="str">
        <x:v>Powered by MDVR; alternative DW7P when waterproofing required</x:v>
      </x:c>
      <x:c r="L111" s="138" t="str">
        <x:v>Display alternative</x:v>
      </x:c>
      <x:c r="M111" s="138" t="str">
        <x:v>Match vehicle layout; see 03 for interface verification</x:v>
      </x:c>
      <x:c r="N111" s="138" t="str">
        <x:v>Regional claims require compliance evidence</x:v>
      </x:c>
      <x:c r="O111" s="138" t="str">
        <x:v>SKU/configuration per user reference; formal QA evidence tracked separately in 03</x:v>
      </x:c>
      <x:c r="P111" s="138" t="str">
        <x:v>Product / FAE</x:v>
      </x:c>
      <x:c r="Q111" s="138" t="str">
        <x:v>Not a customer-ready kit until secondary BOM check</x:v>
      </x:c>
      <x:c r="R111" s="138"/>
    </x:row>
    <x:row r="112" ht="55" customHeight="1">
      <x:c r="A112" s="136" t="str">
        <x:v>C10-10</x:v>
      </x:c>
      <x:c r="B112" s="136" t="str">
        <x:v>C10</x:v>
      </x:c>
      <x:c r="C112" s="136" t="str">
        <x:v>C10-10</x:v>
      </x:c>
      <x:c r="D112" s="136" t="str">
        <x:v>DP7S 3m display cable</x:v>
      </x:c>
      <x:c r="E112" s="136" t="str">
        <x:v>Cable</x:v>
      </x:c>
      <x:c r="F112" s="136" t="str">
        <x:v>User confirmed 2026-10-22</x:v>
      </x:c>
      <x:c r="G112" s="136" t="str">
        <x:v>1 per DP7S if DP7S is selected</x:v>
      </x:c>
      <x:c r="H112" s="136"/>
      <x:c r="I112" s="136" t="str">
        <x:v>By site / solution</x:v>
      </x:c>
      <x:c r="J112" s="137" t="str">
        <x:v>1210030000163</x:v>
      </x:c>
      <x:c r="K112" s="136" t="str">
        <x:v>Not included with either DP7S logo variant</x:v>
      </x:c>
      <x:c r="L112" s="136" t="str">
        <x:v>Separate order when DP7S</x:v>
      </x:c>
      <x:c r="M112" s="136" t="str">
        <x:v>Match vehicle layout; see 03 for interface verification</x:v>
      </x:c>
      <x:c r="N112" s="136" t="str">
        <x:v>Regional claims require compliance evidence</x:v>
      </x:c>
      <x:c r="O112" s="136" t="str">
        <x:v>SKU/configuration per user reference; formal QA evidence tracked separately in 03</x:v>
      </x:c>
      <x:c r="P112" s="136" t="str">
        <x:v>Product / FAE</x:v>
      </x:c>
      <x:c r="Q112" s="136" t="str">
        <x:v>Not a customer-ready kit until secondary BOM check</x:v>
      </x:c>
      <x:c r="R112" s="136"/>
    </x:row>
    <x:row r="113" ht="55" customHeight="1">
      <x:c r="A113" s="138" t="str">
        <x:v>C10-11</x:v>
      </x:c>
      <x:c r="B113" s="138" t="str">
        <x:v>C10</x:v>
      </x:c>
      <x:c r="C113" s="138" t="str">
        <x:v>C10-11</x:v>
      </x:c>
      <x:c r="D113" s="138" t="str">
        <x:v>DW7P waterproof display</x:v>
      </x:c>
      <x:c r="E113" s="138" t="str">
        <x:v>Display</x:v>
      </x:c>
      <x:c r="F113" s="138" t="str">
        <x:v>User confirmed 2026-10-22</x:v>
      </x:c>
      <x:c r="G113" s="138" t="str">
        <x:v>Choose DW7P if waterproof display required</x:v>
      </x:c>
      <x:c r="H113" s="138"/>
      <x:c r="I113" s="138" t="str">
        <x:v>By site / solution</x:v>
      </x:c>
      <x:c r="J113" s="139" t="str">
        <x:v>5146054100001</x:v>
      </x:c>
      <x:c r="K113" s="138" t="str">
        <x:v>MDVR or vehicle power; mounting bracket and base cable included; 3m extension separately as needed</x:v>
      </x:c>
      <x:c r="L113" s="138" t="str">
        <x:v>Display alternative</x:v>
      </x:c>
      <x:c r="M113" s="138" t="str">
        <x:v>Match vehicle layout; see 03 for interface verification</x:v>
      </x:c>
      <x:c r="N113" s="138" t="str">
        <x:v>Regional claims require compliance evidence</x:v>
      </x:c>
      <x:c r="O113" s="138" t="str">
        <x:v>SKU/configuration per user reference; formal QA evidence tracked separately in 03</x:v>
      </x:c>
      <x:c r="P113" s="138" t="str">
        <x:v>Product / FAE</x:v>
      </x:c>
      <x:c r="Q113" s="138" t="str">
        <x:v>Not a customer-ready kit until secondary BOM check</x:v>
      </x:c>
      <x:c r="R113" s="138"/>
    </x:row>
    <x:row r="114" ht="55" customHeight="1">
      <x:c r="A114" s="136" t="str">
        <x:v>C10-12</x:v>
      </x:c>
      <x:c r="B114" s="136" t="str">
        <x:v>C10</x:v>
      </x:c>
      <x:c r="C114" s="136" t="str">
        <x:v>C10-12</x:v>
      </x:c>
      <x:c r="D114" s="136" t="str">
        <x:v>M3N custom 20-pin signal cable</x:v>
      </x:c>
      <x:c r="E114" s="136" t="str">
        <x:v>Kit included</x:v>
      </x:c>
      <x:c r="F114" s="136" t="str">
        <x:v>User confirmed 2026-10-22</x:v>
      </x:c>
      <x:c r="G114" s="136" t="str">
        <x:v>1 INCLUDED per host kit; additional purchase = 0</x:v>
      </x:c>
      <x:c r="H114" s="136" t="n">
        <x:v>0</x:v>
      </x:c>
      <x:c r="I114" s="136" t="str">
        <x:v>Per vehicle</x:v>
      </x:c>
      <x:c r="J114" s="137" t="str">
        <x:v>1261050100539</x:v>
      </x:c>
      <x:c r="K114" s="136" t="str">
        <x:v>Do not double-order. Both H0404 and H0204 have this included</x:v>
      </x:c>
      <x:c r="L114" s="136" t="str">
        <x:v>Included in host kit</x:v>
      </x:c>
      <x:c r="M114" s="136" t="str">
        <x:v>Match vehicle layout; see 03 for interface verification</x:v>
      </x:c>
      <x:c r="N114" s="136" t="str">
        <x:v>Regional claims require compliance evidence</x:v>
      </x:c>
      <x:c r="O114" s="136" t="str">
        <x:v>SKU/configuration per user reference; formal QA evidence tracked separately in 03</x:v>
      </x:c>
      <x:c r="P114" s="136" t="str">
        <x:v>Product / FAE</x:v>
      </x:c>
      <x:c r="Q114" s="136" t="str">
        <x:v>Not a customer-ready kit until secondary BOM check</x:v>
      </x:c>
      <x:c r="R114" s="136"/>
    </x:row>
    <x:row r="115" ht="55" customHeight="1">
      <x:c r="A115" s="138" t="str">
        <x:v>C10-13</x:v>
      </x:c>
      <x:c r="B115" s="138" t="str">
        <x:v>C10</x:v>
      </x:c>
      <x:c r="C115" s="138" t="str">
        <x:v>C10-13</x:v>
      </x:c>
      <x:c r="D115" s="138" t="str">
        <x:v>M3N host antennas/power leads</x:v>
      </x:c>
      <x:c r="E115" s="138" t="str">
        <x:v>Kit included</x:v>
      </x:c>
      <x:c r="F115" s="138" t="str">
        <x:v>User confirmed 2026-10-22</x:v>
      </x:c>
      <x:c r="G115" s="138" t="str">
        <x:v>Included in host kit; verify kit contents before customer release</x:v>
      </x:c>
      <x:c r="H115" s="138" t="n">
        <x:v>0</x:v>
      </x:c>
      <x:c r="I115" s="138" t="str">
        <x:v>Per vehicle</x:v>
      </x:c>
      <x:c r="J115" s="139"/>
      <x:c r="K115" s="138" t="str">
        <x:v>Do not double-order power and regional antennas</x:v>
      </x:c>
      <x:c r="L115" s="138" t="str">
        <x:v>Included in host kit</x:v>
      </x:c>
      <x:c r="M115" s="138" t="str">
        <x:v>Match vehicle layout; see 03 for interface verification</x:v>
      </x:c>
      <x:c r="N115" s="138" t="str">
        <x:v>Regional claims require compliance evidence</x:v>
      </x:c>
      <x:c r="O115" s="138" t="str">
        <x:v>SKU/configuration per user reference; formal QA evidence tracked separately in 03</x:v>
      </x:c>
      <x:c r="P115" s="138" t="str">
        <x:v>Product / FAE</x:v>
      </x:c>
      <x:c r="Q115" s="138" t="str">
        <x:v>Not a customer-ready kit until secondary BOM check</x:v>
      </x:c>
      <x:c r="R115" s="138"/>
    </x:row>
    <x:row r="116" ht="55" customHeight="1">
      <x:c r="A116" s="136" t="str">
        <x:v>C10-14</x:v>
      </x:c>
      <x:c r="B116" s="136" t="str">
        <x:v>C10</x:v>
      </x:c>
      <x:c r="C116" s="136" t="str">
        <x:v>C10-14</x:v>
      </x:c>
      <x:c r="D116" s="136" t="str">
        <x:v>Easycheck maintenance dongle</x:v>
      </x:c>
      <x:c r="E116" s="136" t="str">
        <x:v>Tools</x:v>
      </x:c>
      <x:c r="F116" s="136" t="str">
        <x:v>User confirmed 2026-10-22</x:v>
      </x:c>
      <x:c r="G116" s="136" t="str">
        <x:v>1 per solution / commissioning team, NOT 1 per vehicle</x:v>
      </x:c>
      <x:c r="H116" s="136"/>
      <x:c r="I116" s="136" t="str">
        <x:v>By site / solution</x:v>
      </x:c>
      <x:c r="J116" s="137" t="str">
        <x:v>5190001000009</x:v>
      </x:c>
      <x:c r="K116" s="136" t="str">
        <x:v>Common Easycheck + Veyes workflow across 2/4/5 camera systems; no extra calibration tool</x:v>
      </x:c>
      <x:c r="L116" s="136" t="str">
        <x:v>Service tool</x:v>
      </x:c>
      <x:c r="M116" s="136" t="str">
        <x:v>Match vehicle layout; see 03 for interface verification</x:v>
      </x:c>
      <x:c r="N116" s="136" t="str">
        <x:v>Regional claims require compliance evidence</x:v>
      </x:c>
      <x:c r="O116" s="136" t="str">
        <x:v>SKU/configuration per user reference; formal QA evidence tracked separately in 03</x:v>
      </x:c>
      <x:c r="P116" s="136" t="str">
        <x:v>Product / FAE</x:v>
      </x:c>
      <x:c r="Q116" s="136" t="str">
        <x:v>Not a customer-ready kit until secondary BOM check</x:v>
      </x:c>
      <x:c r="R116" s="136"/>
    </x:row>
    <x:row r="117" ht="55" customHeight="1">
      <x:c r="A117" s="138" t="str">
        <x:v>C10-15</x:v>
      </x:c>
      <x:c r="B117" s="138" t="str">
        <x:v>C10</x:v>
      </x:c>
      <x:c r="C117" s="138" t="str">
        <x:v>C10-15</x:v>
      </x:c>
      <x:c r="D117" s="138" t="str">
        <x:v>DP7S without logo — alternative</x:v>
      </x:c>
      <x:c r="E117" s="138" t="str">
        <x:v>Display</x:v>
      </x:c>
      <x:c r="F117" s="138" t="str">
        <x:v>User canonical SKU</x:v>
      </x:c>
      <x:c r="G117" s="138" t="str">
        <x:v>Alternative ONLY: if waterproofing not required and no-logo selected</x:v>
      </x:c>
      <x:c r="H117" s="138"/>
      <x:c r="I117" s="138" t="str">
        <x:v>Choose one DP7S version, or DW7P</x:v>
      </x:c>
      <x:c r="J117" s="139" t="str">
        <x:v>5190012100084</x:v>
      </x:c>
      <x:c r="K117" s="138" t="str">
        <x:v>MDVR or independent vehicle power; cable 1210030000163 separate</x:v>
      </x:c>
      <x:c r="L117" s="138" t="str">
        <x:v>Order separately only if selected</x:v>
      </x:c>
      <x:c r="M117" s="138" t="str">
        <x:v>Match the actual MDVR/display power cable</x:v>
      </x:c>
      <x:c r="N117" s="138" t="str">
        <x:v>Regional compliance per product</x:v>
      </x:c>
      <x:c r="O117" s="138" t="str">
        <x:v>Configuration specified; QA separately in 03</x:v>
      </x:c>
      <x:c r="P117" s="138" t="str">
        <x:v>Product / FAE</x:v>
      </x:c>
      <x:c r="Q117" s="138" t="str">
        <x:v>Do NOT quote both DP7S logo versions or DW7P together</x:v>
      </x:c>
      <x:c r="R117" s="138" t="str"/>
    </x:row>
    <x:row r="118" ht="55" customHeight="1">
      <x:c r="A118" s="136" t="str">
        <x:v>C11-1</x:v>
      </x:c>
      <x:c r="B118" s="136" t="str">
        <x:v>C11</x:v>
      </x:c>
      <x:c r="C118" s="136" t="str">
        <x:v>C11-01</x:v>
      </x:c>
      <x:c r="D118" s="136" t="str">
        <x:v>C46 — choose AHD or IPC (project-specific)</x:v>
      </x:c>
      <x:c r="E118" s="136" t="str">
        <x:v>Camera / sensor</x:v>
      </x:c>
      <x:c r="F118" s="136" t="str">
        <x:v>Source named</x:v>
      </x:c>
      <x:c r="G118" s="136" t="str">
        <x:v>Required for selected route</x:v>
      </x:c>
      <x:c r="H118" s="136"/>
      <x:c r="I118" s="136" t="str">
        <x:v>Quantity TBD</x:v>
      </x:c>
      <x:c r="J118" s="137"/>
      <x:c r="K118" s="136" t="str">
        <x:v>C11 may use AHD 5152178100020 OR IPC 5152178100023 by the vehicle’s signal architecture; Product Manager approval required.</x:v>
      </x:c>
      <x:c r="L118" s="136" t="str">
        <x:v>To be defined for project</x:v>
      </x:c>
      <x:c r="M118" s="136" t="str">
        <x:v>Requires PM/FAE design</x:v>
      </x:c>
      <x:c r="N118" s="136" t="str">
        <x:v>TBD; no approval implied</x:v>
      </x:c>
      <x:c r="O118" s="227" t="str">
        <x:v>Project reference ONLY; exact orderable kit/compatibility not signed off</x:v>
      </x:c>
      <x:c r="P118" s="136" t="str">
        <x:v>Product / FAE</x:v>
      </x:c>
      <x:c r="Q118" s="136"/>
      <x:c r="R118" s="136" t="str">
        <x:v>AHD: 5152178100020 / IPC: 5152178100023 (mutually exclusive; PM approval required)</x:v>
      </x:c>
    </x:row>
    <x:row r="119" ht="55" customHeight="1">
      <x:c r="A119" s="138" t="str">
        <x:v>C11-2</x:v>
      </x:c>
      <x:c r="B119" s="138" t="str">
        <x:v>C11</x:v>
      </x:c>
      <x:c r="C119" s="138" t="str">
        <x:v>C11-02</x:v>
      </x:c>
      <x:c r="D119" s="138" t="str">
        <x:v>Compact display (project reference)</x:v>
      </x:c>
      <x:c r="E119" s="138" t="str">
        <x:v>HMI</x:v>
      </x:c>
      <x:c r="F119" s="138" t="str">
        <x:v>Source named</x:v>
      </x:c>
      <x:c r="G119" s="138" t="str">
        <x:v>Alternative: monitor and/or alarm TBD</x:v>
      </x:c>
      <x:c r="H119" s="138"/>
      <x:c r="I119" s="138" t="str">
        <x:v>Source says monitor/alarm</x:v>
      </x:c>
      <x:c r="J119" s="139"/>
      <x:c r="K119" s="138" t="str">
        <x:v>Display size, signal input, exact SKU and whether required must be confirmed for the project.</x:v>
      </x:c>
      <x:c r="L119" s="138" t="str">
        <x:v>To be defined for project</x:v>
      </x:c>
      <x:c r="M119" s="138" t="str">
        <x:v>Requires PM/FAE design</x:v>
      </x:c>
      <x:c r="N119" s="138" t="str">
        <x:v>TBD; no approval implied</x:v>
      </x:c>
      <x:c r="O119" s="227" t="str">
        <x:v>Project reference ONLY; exact orderable kit/compatibility not signed off</x:v>
      </x:c>
      <x:c r="P119" s="138" t="str">
        <x:v>Product / FAE</x:v>
      </x:c>
      <x:c r="Q119" s="138"/>
      <x:c r="R119" s="138"/>
    </x:row>
    <x:row r="120" ht="55" customHeight="1">
      <x:c r="A120" s="136" t="str">
        <x:v>C11-3</x:v>
      </x:c>
      <x:c r="B120" s="136" t="str">
        <x:v>C11</x:v>
      </x:c>
      <x:c r="C120" s="136" t="str">
        <x:v>C11-03</x:v>
      </x:c>
      <x:c r="D120" s="136" t="str">
        <x:v>Local alarm</x:v>
      </x:c>
      <x:c r="E120" s="136" t="str">
        <x:v>Alarm</x:v>
      </x:c>
      <x:c r="F120" s="136" t="str">
        <x:v>Source named</x:v>
      </x:c>
      <x:c r="G120" s="136" t="str">
        <x:v>Alternative: monitor and/or alarm TBD</x:v>
      </x:c>
      <x:c r="H120" s="136"/>
      <x:c r="I120" s="136" t="str">
        <x:v>Source says monitor/alarm</x:v>
      </x:c>
      <x:c r="J120" s="137"/>
      <x:c r="K120" s="136" t="str">
        <x:v>The type and requirement for local alarm must be confirmed per project.</x:v>
      </x:c>
      <x:c r="L120" s="136" t="str">
        <x:v>To be defined for project</x:v>
      </x:c>
      <x:c r="M120" s="136" t="str">
        <x:v>Requires PM/FAE design</x:v>
      </x:c>
      <x:c r="N120" s="136" t="str">
        <x:v>TBD; no approval implied</x:v>
      </x:c>
      <x:c r="O120" s="227" t="str">
        <x:v>Project reference ONLY; exact orderable kit/compatibility not signed off</x:v>
      </x:c>
      <x:c r="P120" s="136" t="str">
        <x:v>Product / FAE</x:v>
      </x:c>
      <x:c r="Q120" s="136"/>
      <x:c r="R120" s="136"/>
    </x:row>
    <x:row r="121" ht="55" customHeight="1">
      <x:c r="A121" s="138" t="str">
        <x:v>C11-4</x:v>
      </x:c>
      <x:c r="B121" s="138" t="str">
        <x:v>C11</x:v>
      </x:c>
      <x:c r="C121" s="138" t="str">
        <x:v>C11-04</x:v>
      </x:c>
      <x:c r="D121" s="138" t="str">
        <x:v>Power harness / protection</x:v>
      </x:c>
      <x:c r="E121" s="138" t="str">
        <x:v>Power</x:v>
      </x:c>
      <x:c r="F121" s="138" t="str">
        <x:v>Engineering suggestion</x:v>
      </x:c>
      <x:c r="G121" s="138" t="str">
        <x:v>Assess required</x:v>
      </x:c>
      <x:c r="H121" s="138"/>
      <x:c r="I121" s="138" t="str">
        <x:v>TBD by vehicle</x:v>
      </x:c>
      <x:c r="J121" s="139"/>
      <x:c r="K121" s="138" t="str">
        <x:v>Voltage range, fuse, ignition and grounding TBD</x:v>
      </x:c>
      <x:c r="L121" s="138" t="str">
        <x:v>To be defined for project</x:v>
      </x:c>
      <x:c r="M121" s="138" t="str">
        <x:v>Requires PM/FAE design</x:v>
      </x:c>
      <x:c r="N121" s="138" t="str">
        <x:v>TBD; no approval implied</x:v>
      </x:c>
      <x:c r="O121" s="227" t="str">
        <x:v>Project reference ONLY; exact orderable kit/compatibility not signed off</x:v>
      </x:c>
      <x:c r="P121" s="138" t="str">
        <x:v>Product / FAE</x:v>
      </x:c>
      <x:c r="Q121" s="138"/>
      <x:c r="R121" s="138"/>
    </x:row>
    <x:row r="122" ht="55" customHeight="1">
      <x:c r="A122" s="136" t="str">
        <x:v>C11-5</x:v>
      </x:c>
      <x:c r="B122" s="136" t="str">
        <x:v>C11</x:v>
      </x:c>
      <x:c r="C122" s="136" t="str">
        <x:v>C11-05</x:v>
      </x:c>
      <x:c r="D122" s="136" t="str">
        <x:v>Video / data / extension harness</x:v>
      </x:c>
      <x:c r="E122" s="136" t="str">
        <x:v>Wiring</x:v>
      </x:c>
      <x:c r="F122" s="136" t="str">
        <x:v>Engineering suggestion</x:v>
      </x:c>
      <x:c r="G122" s="136" t="str">
        <x:v>Assess required</x:v>
      </x:c>
      <x:c r="H122" s="136"/>
      <x:c r="I122" s="136" t="str">
        <x:v>TBD by layout</x:v>
      </x:c>
      <x:c r="J122" s="137"/>
      <x:c r="K122" s="136" t="str">
        <x:v>Connector, length, pinout and routing TBD</x:v>
      </x:c>
      <x:c r="L122" s="136" t="str">
        <x:v>To be defined for project</x:v>
      </x:c>
      <x:c r="M122" s="136" t="str">
        <x:v>Requires PM/FAE design</x:v>
      </x:c>
      <x:c r="N122" s="136" t="str">
        <x:v>TBD; no approval implied</x:v>
      </x:c>
      <x:c r="O122" s="227" t="str">
        <x:v>Project reference ONLY; exact orderable kit/compatibility not signed off</x:v>
      </x:c>
      <x:c r="P122" s="136" t="str">
        <x:v>Product / FAE</x:v>
      </x:c>
      <x:c r="Q122" s="136"/>
      <x:c r="R122" s="136"/>
    </x:row>
    <x:row r="123" ht="55" customHeight="1">
      <x:c r="A123" s="138" t="str">
        <x:v>C11-6</x:v>
      </x:c>
      <x:c r="B123" s="138" t="str">
        <x:v>C11</x:v>
      </x:c>
      <x:c r="C123" s="138" t="str">
        <x:v>C11-06</x:v>
      </x:c>
      <x:c r="D123" s="138" t="str">
        <x:v>Mounting bracket / fasteners</x:v>
      </x:c>
      <x:c r="E123" s="138" t="str">
        <x:v>Installation</x:v>
      </x:c>
      <x:c r="F123" s="138" t="str">
        <x:v>Engineering suggestion</x:v>
      </x:c>
      <x:c r="G123" s="138" t="str">
        <x:v>Assess required</x:v>
      </x:c>
      <x:c r="H123" s="138"/>
      <x:c r="I123" s="138" t="str">
        <x:v>TBD by machine</x:v>
      </x:c>
      <x:c r="J123" s="139"/>
      <x:c r="K123" s="138" t="str">
        <x:v>Mounting location and vibration suitability TBD</x:v>
      </x:c>
      <x:c r="L123" s="138" t="str">
        <x:v>To be defined for project</x:v>
      </x:c>
      <x:c r="M123" s="138" t="str">
        <x:v>Requires PM/FAE design</x:v>
      </x:c>
      <x:c r="N123" s="138" t="str">
        <x:v>TBD; no approval implied</x:v>
      </x:c>
      <x:c r="O123" s="227" t="str">
        <x:v>Project reference ONLY; exact orderable kit/compatibility not signed off</x:v>
      </x:c>
      <x:c r="P123" s="138" t="str">
        <x:v>Product / FAE</x:v>
      </x:c>
      <x:c r="Q123" s="138"/>
      <x:c r="R123" s="138"/>
    </x:row>
    <x:row r="124" ht="62" customHeight="1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50"/>
      <x:c r="K124" s="42"/>
      <x:c r="L124" s="42"/>
      <x:c r="M124" s="42"/>
      <x:c r="N124" s="42"/>
      <x:c r="O124" s="42"/>
      <x:c r="P124" s="42"/>
      <x:c r="Q124" s="42"/>
      <x:c r="R124" s="42"/>
    </x:row>
    <x:row r="125" ht="62" customHeight="1">
      <x:c r="J125" s="54"/>
    </x:row>
    <x:row r="126" ht="62" customHeight="1">
      <x:c r="J126" s="54"/>
    </x:row>
    <x:row r="127" ht="62" customHeight="1">
      <x:c r="J127" s="54"/>
    </x:row>
    <x:row r="128" ht="62" customHeight="1">
      <x:c r="J128" s="54"/>
    </x:row>
    <x:row r="129" ht="62" customHeight="1">
      <x:c r="J129" s="54"/>
    </x:row>
    <x:row r="130" ht="62" customHeight="1">
      <x:c r="J130" s="54"/>
    </x:row>
    <x:row r="131" ht="62" customHeight="1">
      <x:c r="J131" s="54"/>
    </x:row>
    <x:row r="132" ht="62" customHeight="1">
      <x:c r="J132" s="54"/>
    </x:row>
    <x:row r="133" ht="62" customHeight="1">
      <x:c r="J133" s="54"/>
    </x:row>
    <x:row r="134" ht="62" customHeight="1">
      <x:c r="J134" s="54"/>
    </x:row>
    <x:row r="135" ht="62" customHeight="1">
      <x:c r="J135" s="54"/>
    </x:row>
    <x:row r="136" ht="62" customHeight="1">
      <x:c r="J136" s="54"/>
    </x:row>
    <x:row r="137" ht="62" customHeight="1">
      <x:c r="J137" s="54"/>
    </x:row>
    <x:row r="138" ht="62" customHeight="1">
      <x:c r="J138" s="54"/>
    </x:row>
    <x:row r="139" ht="62" customHeight="1">
      <x:c r="J139" s="54"/>
    </x:row>
    <x:row r="140" ht="62" customHeight="1">
      <x:c r="J140" s="54"/>
    </x:row>
    <x:row r="141" ht="62" customHeight="1">
      <x:c r="J141" s="54"/>
    </x:row>
    <x:row r="142" ht="62" customHeight="1">
      <x:c r="J142" s="54"/>
    </x:row>
    <x:row r="143" ht="62" customHeight="1">
      <x:c r="J143" s="54"/>
    </x:row>
    <x:row r="144" ht="62" customHeight="1">
      <x:c r="J144" s="54"/>
    </x:row>
    <x:row r="145" ht="62" customHeight="1">
      <x:c r="J145" s="54"/>
    </x:row>
    <x:row r="146" ht="62" customHeight="1">
      <x:c r="J146" s="54"/>
    </x:row>
    <x:row r="147" ht="62" customHeight="1">
      <x:c r="J147" s="54"/>
    </x:row>
    <x:row r="148" ht="62" customHeight="1">
      <x:c r="J148" s="54"/>
    </x:row>
    <x:row r="149" ht="62" customHeight="1">
      <x:c r="J149" s="54"/>
    </x:row>
    <x:row r="150" ht="62" customHeight="1">
      <x:c r="J150" s="54"/>
    </x:row>
    <x:row r="151" ht="62" customHeight="1">
      <x:c r="J151" s="54"/>
    </x:row>
    <x:row r="152" ht="62" customHeight="1">
      <x:c r="J152" s="54"/>
    </x:row>
    <x:row r="153" ht="62" customHeight="1">
      <x:c r="J153" s="54"/>
    </x:row>
    <x:row r="154" ht="62" customHeight="1">
      <x:c r="J154" s="54"/>
    </x:row>
    <x:row r="155" ht="62" customHeight="1">
      <x:c r="J155" s="54"/>
    </x:row>
    <x:row r="156" ht="62" customHeight="1">
      <x:c r="J156" s="54"/>
    </x:row>
    <x:row r="157" ht="62" customHeight="1">
      <x:c r="J157" s="54"/>
    </x:row>
    <x:row r="158" ht="62" customHeight="1">
      <x:c r="J158" s="54"/>
    </x:row>
    <x:row r="159" ht="62" customHeight="1">
      <x:c r="J159" s="54"/>
    </x:row>
    <x:row r="160" ht="62" customHeight="1">
      <x:c r="J160" s="54"/>
    </x:row>
    <x:row r="161" ht="62" customHeight="1">
      <x:c r="J161" s="54"/>
    </x:row>
    <x:row r="162" ht="62" customHeight="1">
      <x:c r="J162" s="54"/>
    </x:row>
    <x:row r="163" ht="62" customHeight="1">
      <x:c r="J163" s="54"/>
    </x:row>
    <x:row r="164" ht="62" customHeight="1">
      <x:c r="J164" s="54"/>
    </x:row>
    <x:row r="165" ht="62" customHeight="1">
      <x:c r="J165" s="54"/>
    </x:row>
    <x:row r="166" ht="62" customHeight="1">
      <x:c r="J166" s="54"/>
    </x:row>
    <x:row r="167" ht="62" customHeight="1">
      <x:c r="J167" s="54"/>
    </x:row>
    <x:row r="168" ht="62" customHeight="1">
      <x:c r="J168" s="54"/>
    </x:row>
    <x:row r="169" ht="62" customHeight="1">
      <x:c r="J169" s="54"/>
    </x:row>
    <x:row r="170" ht="62" customHeight="1">
      <x:c r="J170" s="54"/>
    </x:row>
    <x:row r="171" ht="62" customHeight="1">
      <x:c r="J171" s="54"/>
    </x:row>
    <x:row r="172" ht="62" customHeight="1">
      <x:c r="J172" s="54"/>
    </x:row>
    <x:row r="173" ht="62" customHeight="1">
      <x:c r="J173" s="54"/>
    </x:row>
    <x:row r="174" ht="62" customHeight="1">
      <x:c r="J174" s="54"/>
    </x:row>
    <x:row r="175" ht="62" customHeight="1">
      <x:c r="J175" s="54"/>
    </x:row>
    <x:row r="176" ht="62" customHeight="1">
      <x:c r="J176" s="54"/>
    </x:row>
    <x:row r="177" ht="62" customHeight="1">
      <x:c r="J177" s="54"/>
    </x:row>
    <x:row r="178" ht="62" customHeight="1">
      <x:c r="J178" s="54"/>
    </x:row>
    <x:row r="179" ht="62" customHeight="1">
      <x:c r="J179" s="54"/>
    </x:row>
    <x:row r="180" ht="62" customHeight="1">
      <x:c r="J180" s="54"/>
    </x:row>
  </x:sheetData>
  <x:pageMargins left="0.7" right="0.7" top="0.75" bottom="0.75" header="0.3" footer="0.3"/>
  <x:tableParts count="1">
    <x:tablePart xmlns:r="http://schemas.openxmlformats.org/officeDocument/2006/relationships" r:id="R80cd171c7a914fa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9" hidden="0" customWidth="1"/>
    <x:col min="5" max="5" width="33" hidden="0" customWidth="1"/>
    <x:col min="6" max="6" width="40" hidden="0" customWidth="1"/>
    <x:col min="7" max="7" width="55" hidden="0" customWidth="1"/>
  </x:cols>
  <x:sheetData>
    <x:row r="1" ht="38" customHeight="1">
      <x:c r="A1" s="144" t="str">
        <x:v>04  REGIONAL HOST SKU SELECTION</x:v>
      </x:c>
      <x:c r="B1" s="144"/>
      <x:c r="C1" s="144"/>
      <x:c r="D1" s="144"/>
      <x:c r="E1" s="144"/>
      <x:c r="F1" s="144"/>
      <x:c r="G1" s="144"/>
    </x:row>
    <x:row r="2" ht="43" customHeight="1">
      <x:c r="A2" s="145" t="str">
        <x:v>Ten and ONLY ten current host-kit SKUs from authoritative customer reference. C07/C08/C09: select one M1N SKU according to region and enclosure.</x:v>
      </x:c>
      <x:c r="B2" s="145"/>
      <x:c r="C2" s="179"/>
      <x:c r="D2" s="145"/>
      <x:c r="E2" s="145"/>
      <x:c r="F2" s="145"/>
      <x:c r="G2" s="145"/>
    </x:row>
    <x:row r="3" ht="54" customHeight="1">
      <x:c r="A3" s="149" t="str">
        <x:v>Legacy / duplicated host SKUs removed. For C06 NA choose 5120121100005; for C10 EU/Asia choose 5120182100013; do not substitute region variants.</x:v>
      </x:c>
      <x:c r="B3" s="149"/>
      <x:c r="C3" s="181"/>
      <x:c r="D3" s="149"/>
      <x:c r="E3" s="149"/>
      <x:c r="F3" s="149"/>
      <x:c r="G3" s="149"/>
    </x:row>
    <x:row r="4" ht="40" customHeight="1">
      <x:c r="A4" s="141" t="str">
        <x:v>Product</x:v>
      </x:c>
      <x:c r="B4" s="141" t="str">
        <x:v>Region</x:v>
      </x:c>
      <x:c r="C4" s="178" t="str">
        <x:v>Full host SKU</x:v>
      </x:c>
      <x:c r="D4" s="141" t="str">
        <x:v>Enclosure</x:v>
      </x:c>
      <x:c r="E4" s="141" t="str">
        <x:v>Drive included?</x:v>
      </x:c>
      <x:c r="F4" s="141" t="str">
        <x:v>Version / configuration</x:v>
      </x:c>
      <x:c r="G4" s="141" t="str">
        <x:v>Sales availability</x:v>
      </x:c>
    </x:row>
    <x:row r="5" ht="54" customHeight="1">
      <x:c r="A5" s="136" t="str">
        <x:v>M3N H0404</x:v>
      </x:c>
      <x:c r="B5" s="136" t="str">
        <x:v>North America</x:v>
      </x:c>
      <x:c r="C5" s="137" t="str">
        <x:v>5120121100005</x:v>
      </x:c>
      <x:c r="D5" s="136" t="str">
        <x:v>With enclosure</x:v>
      </x:c>
      <x:c r="E5" s="136" t="str">
        <x:v>HDD/SSD not included</x:v>
      </x:c>
      <x:c r="F5" s="136" t="str">
        <x:v>C06 host preferred / North America</x:v>
      </x:c>
      <x:c r="G5" s="136" t="str">
        <x:v>Authoritative source: 02_Master_SKUs; PM checks full kit before release</x:v>
      </x:c>
    </x:row>
    <x:row r="6" ht="54" customHeight="1">
      <x:c r="A6" s="138" t="str">
        <x:v>M3N H0404</x:v>
      </x:c>
      <x:c r="B6" s="138" t="str">
        <x:v>EU/Asia</x:v>
      </x:c>
      <x:c r="C6" s="139" t="str">
        <x:v>5120121100004</x:v>
      </x:c>
      <x:c r="D6" s="138" t="str">
        <x:v>With enclosure</x:v>
      </x:c>
      <x:c r="E6" s="138" t="str">
        <x:v>HDD/SSD not included</x:v>
      </x:c>
      <x:c r="F6" s="138" t="str">
        <x:v>M3N H0404 regional option</x:v>
      </x:c>
      <x:c r="G6" s="138" t="str">
        <x:v>Authoritative source: 02_Master_SKUs; PM checks full kit before release</x:v>
      </x:c>
    </x:row>
    <x:row r="7" ht="54" customHeight="1">
      <x:c r="A7" s="136" t="str">
        <x:v>M3N H0404</x:v>
      </x:c>
      <x:c r="B7" s="136" t="str">
        <x:v>Latin America</x:v>
      </x:c>
      <x:c r="C7" s="137" t="str">
        <x:v>5120121100003</x:v>
      </x:c>
      <x:c r="D7" s="136" t="str">
        <x:v>With enclosure</x:v>
      </x:c>
      <x:c r="E7" s="136" t="str">
        <x:v>HDD/SSD not included</x:v>
      </x:c>
      <x:c r="F7" s="136" t="str">
        <x:v>M3N H0404 regional option</x:v>
      </x:c>
      <x:c r="G7" s="136" t="str">
        <x:v>Authoritative source: 02_Master_SKUs; PM checks full kit before release</x:v>
      </x:c>
    </x:row>
    <x:row r="8" ht="54" customHeight="1">
      <x:c r="A8" s="138" t="str">
        <x:v>M3N H0204</x:v>
      </x:c>
      <x:c r="B8" s="138" t="str">
        <x:v>EU/Asia</x:v>
      </x:c>
      <x:c r="C8" s="139" t="str">
        <x:v>5120182100013</x:v>
      </x:c>
      <x:c r="D8" s="138" t="str">
        <x:v>With enclosure</x:v>
      </x:c>
      <x:c r="E8" s="138" t="str">
        <x:v>1 TB SSD included</x:v>
      </x:c>
      <x:c r="F8" s="138" t="str">
        <x:v>C10 only / EU-Asia / 20-pin included</x:v>
      </x:c>
      <x:c r="G8" s="138" t="str">
        <x:v>Authoritative source: 02_Master_SKUs; PM checks full kit before release</x:v>
      </x:c>
    </x:row>
    <x:row r="9" ht="54" customHeight="1">
      <x:c r="A9" s="136" t="str">
        <x:v>M1N 2.0</x:v>
      </x:c>
      <x:c r="B9" s="136" t="str">
        <x:v>EU/Asia</x:v>
      </x:c>
      <x:c r="C9" s="137" t="str">
        <x:v>5110038100028</x:v>
      </x:c>
      <x:c r="D9" s="136" t="str">
        <x:v>With enclosure</x:v>
      </x:c>
      <x:c r="E9" s="136" t="str">
        <x:v>HDD/SSD not included</x:v>
      </x:c>
      <x:c r="F9" s="136" t="str">
        <x:v>C07/C08/C09 choose region + enclosure</x:v>
      </x:c>
      <x:c r="G9" s="136" t="str">
        <x:v>Authoritative source: 02_Master_SKUs; PM checks full kit before release</x:v>
      </x:c>
    </x:row>
    <x:row r="10" ht="54" customHeight="1">
      <x:c r="A10" s="138" t="str">
        <x:v>M1N 2.0</x:v>
      </x:c>
      <x:c r="B10" s="138" t="str">
        <x:v>EU/Asia</x:v>
      </x:c>
      <x:c r="C10" s="139" t="str">
        <x:v>5110038100029</x:v>
      </x:c>
      <x:c r="D10" s="138" t="str">
        <x:v>No enclosure</x:v>
      </x:c>
      <x:c r="E10" s="138" t="str">
        <x:v>HDD/SSD not included</x:v>
      </x:c>
      <x:c r="F10" s="138" t="str">
        <x:v>C07/C08/C09 choose region + enclosure</x:v>
      </x:c>
      <x:c r="G10" s="138" t="str">
        <x:v>Authoritative source: 02_Master_SKUs; PM checks full kit before release</x:v>
      </x:c>
    </x:row>
    <x:row r="11" ht="54" customHeight="1">
      <x:c r="A11" s="136" t="str">
        <x:v>M1N 2.0</x:v>
      </x:c>
      <x:c r="B11" s="136" t="str">
        <x:v>Latin America</x:v>
      </x:c>
      <x:c r="C11" s="137" t="str">
        <x:v>5110038100004</x:v>
      </x:c>
      <x:c r="D11" s="136" t="str">
        <x:v>With enclosure</x:v>
      </x:c>
      <x:c r="E11" s="136" t="str">
        <x:v>HDD/SSD not included</x:v>
      </x:c>
      <x:c r="F11" s="136" t="str">
        <x:v>C07/C08/C09 choose region + enclosure</x:v>
      </x:c>
      <x:c r="G11" s="136" t="str">
        <x:v>Authoritative source: 02_Master_SKUs; PM checks full kit before release</x:v>
      </x:c>
    </x:row>
    <x:row r="12" ht="54" customHeight="1">
      <x:c r="A12" s="138" t="str">
        <x:v>M1N 2.0</x:v>
      </x:c>
      <x:c r="B12" s="138" t="str">
        <x:v>Latin America</x:v>
      </x:c>
      <x:c r="C12" s="139" t="str">
        <x:v>5110038100038</x:v>
      </x:c>
      <x:c r="D12" s="138" t="str">
        <x:v>No enclosure</x:v>
      </x:c>
      <x:c r="E12" s="138" t="str">
        <x:v>HDD/SSD not included</x:v>
      </x:c>
      <x:c r="F12" s="138" t="str">
        <x:v>C07/C08/C09 choose region + enclosure</x:v>
      </x:c>
      <x:c r="G12" s="138" t="str">
        <x:v>Authoritative source: 02_Master_SKUs; PM checks full kit before release</x:v>
      </x:c>
    </x:row>
    <x:row r="13" ht="54" customHeight="1">
      <x:c r="A13" s="136" t="str">
        <x:v>M1N 2.0</x:v>
      </x:c>
      <x:c r="B13" s="136" t="str">
        <x:v>North America</x:v>
      </x:c>
      <x:c r="C13" s="137" t="str">
        <x:v>5110038100014</x:v>
      </x:c>
      <x:c r="D13" s="136" t="str">
        <x:v>With enclosure</x:v>
      </x:c>
      <x:c r="E13" s="136" t="str">
        <x:v>HDD/SSD not included</x:v>
      </x:c>
      <x:c r="F13" s="136" t="str">
        <x:v>C07/C08/C09 choose region + enclosure</x:v>
      </x:c>
      <x:c r="G13" s="136" t="str">
        <x:v>Authoritative source: 02_Master_SKUs; PM checks full kit before release</x:v>
      </x:c>
    </x:row>
    <x:row r="14" ht="54" customHeight="1">
      <x:c r="A14" s="138" t="str">
        <x:v>M1N 2.0</x:v>
      </x:c>
      <x:c r="B14" s="138" t="str">
        <x:v>North America</x:v>
      </x:c>
      <x:c r="C14" s="139" t="str">
        <x:v>5110038100037</x:v>
      </x:c>
      <x:c r="D14" s="138" t="str">
        <x:v>No enclosure</x:v>
      </x:c>
      <x:c r="E14" s="138" t="str">
        <x:v>HDD/SSD not included</x:v>
      </x:c>
      <x:c r="F14" s="138" t="str">
        <x:v>C07/C08/C09 choose region + enclosure</x:v>
      </x:c>
      <x:c r="G14" s="138" t="str">
        <x:v>Authoritative source: 02_Master_SKUs; PM checks full kit before release</x:v>
      </x:c>
    </x:row>
    <x:row r="15" ht="59" customHeight="1">
      <x:c r="A15"/>
      <x:c r="B15"/>
      <x:c r="C15" s="54"/>
      <x:c r="D15"/>
      <x:c r="E15"/>
      <x:c r="F15"/>
      <x:c r="G15"/>
    </x:row>
    <x:row r="16" ht="59" customHeight="1">
      <x:c r="A16" s="52"/>
      <x:c r="B16" s="52"/>
      <x:c r="C16" s="55"/>
      <x:c r="D16" s="52"/>
      <x:c r="E16" s="52"/>
      <x:c r="F16" s="52"/>
      <x:c r="G16" s="52"/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e36df9ff7baf429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22" hidden="0" customWidth="1"/>
    <x:col min="3" max="3" width="30" hidden="0" customWidth="1"/>
    <x:col min="4" max="4" width="37" hidden="0" customWidth="1"/>
    <x:col min="5" max="5" width="76" hidden="0" customWidth="1"/>
  </x:cols>
  <x:sheetData>
    <x:row r="1" ht="38" customHeight="1">
      <x:c r="A1" s="144" t="str">
        <x:v>05  CURRENT CABLES &amp; INSTALLATION OPTIONS</x:v>
      </x:c>
      <x:c r="B1" s="144"/>
      <x:c r="C1" s="144"/>
      <x:c r="D1" s="144"/>
      <x:c r="E1" s="144"/>
    </x:row>
    <x:row r="2" ht="43" customHeight="1">
      <x:c r="A2" s="145" t="str">
        <x:v>Confirmed current standard lengths and conditional cables. The route BOM uses an example cable; the field installer selects actual lengths and quantities.</x:v>
      </x:c>
      <x:c r="B2" s="145"/>
      <x:c r="C2" s="179"/>
      <x:c r="D2" s="145"/>
      <x:c r="E2" s="145"/>
    </x:row>
    <x:row r="3" ht="54" customHeight="1">
      <x:c r="A3" s="149" t="str">
        <x:v>Do not assume every vehicle needs every cable; verify installed camera position, display requirements and BA5 configuration.</x:v>
      </x:c>
      <x:c r="B3" s="149"/>
      <x:c r="C3" s="181"/>
      <x:c r="D3" s="149"/>
      <x:c r="E3" s="149"/>
    </x:row>
    <x:row r="4" ht="40" customHeight="1">
      <x:c r="A4" s="141" t="str">
        <x:v>Part family</x:v>
      </x:c>
      <x:c r="B4" s="141" t="str">
        <x:v>Length</x:v>
      </x:c>
      <x:c r="C4" s="178" t="str">
        <x:v>Full part number</x:v>
      </x:c>
      <x:c r="D4" s="141" t="str">
        <x:v>Interface / application</x:v>
      </x:c>
      <x:c r="E4" s="141" t="str">
        <x:v>Procurement guidance</x:v>
      </x:c>
    </x:row>
    <x:row r="5" ht="53" customHeight="1">
      <x:c r="A5" s="136" t="str">
        <x:v>Camera IPC extension</x:v>
      </x:c>
      <x:c r="B5" s="136" t="str">
        <x:v>3 m</x:v>
      </x:c>
      <x:c r="C5" s="137" t="str">
        <x:v>1260010000351</x:v>
      </x:c>
      <x:c r="D5" s="136" t="str">
        <x:v>RS765-6</x:v>
      </x:c>
      <x:c r="E5" s="136" t="str">
        <x:v>Standard, order based on route distance</x:v>
      </x:c>
    </x:row>
    <x:row r="6" ht="53" customHeight="1">
      <x:c r="A6" s="138" t="str">
        <x:v>Camera IPC extension</x:v>
      </x:c>
      <x:c r="B6" s="138" t="str">
        <x:v>5 m</x:v>
      </x:c>
      <x:c r="C6" s="139" t="str">
        <x:v>1260010000352</x:v>
      </x:c>
      <x:c r="D6" s="138" t="str">
        <x:v>RS765-6</x:v>
      </x:c>
      <x:c r="E6" s="138" t="str">
        <x:v>Standard, order based on route distance</x:v>
      </x:c>
    </x:row>
    <x:row r="7" ht="53" customHeight="1">
      <x:c r="A7" s="136" t="str">
        <x:v>Camera IPC extension</x:v>
      </x:c>
      <x:c r="B7" s="136" t="str">
        <x:v>7 m</x:v>
      </x:c>
      <x:c r="C7" s="137" t="str">
        <x:v>1260010000353</x:v>
      </x:c>
      <x:c r="D7" s="136" t="str">
        <x:v>RS765-6</x:v>
      </x:c>
      <x:c r="E7" s="136" t="str">
        <x:v>Current EN standard; R118 flame-retardant marking</x:v>
      </x:c>
    </x:row>
    <x:row r="8" ht="53" customHeight="1">
      <x:c r="A8" s="138" t="str">
        <x:v>Camera IPC extension</x:v>
      </x:c>
      <x:c r="B8" s="138" t="str">
        <x:v>11 m</x:v>
      </x:c>
      <x:c r="C8" s="139" t="str">
        <x:v>1260010000355</x:v>
      </x:c>
      <x:c r="D8" s="138" t="str">
        <x:v>RS765-6</x:v>
      </x:c>
      <x:c r="E8" s="138" t="str">
        <x:v>Confirmed standard orderable length</x:v>
      </x:c>
    </x:row>
    <x:row r="9" ht="53" customHeight="1">
      <x:c r="A9" s="136" t="str">
        <x:v>Camera IPC extension</x:v>
      </x:c>
      <x:c r="B9" s="136" t="str">
        <x:v>15 m</x:v>
      </x:c>
      <x:c r="C9" s="137" t="str">
        <x:v>1260010000357</x:v>
      </x:c>
      <x:c r="D9" s="136" t="str">
        <x:v>RS765-6</x:v>
      </x:c>
      <x:c r="E9" s="136" t="str">
        <x:v>Standard, order based on route distance</x:v>
      </x:c>
    </x:row>
    <x:row r="10" ht="53" customHeight="1">
      <x:c r="A10" s="138" t="str">
        <x:v>Alarm / DW7P shared extension</x:v>
      </x:c>
      <x:c r="B10" s="138" t="str">
        <x:v>3 m</x:v>
      </x:c>
      <x:c r="C10" s="139" t="str">
        <x:v>1260010100265</x:v>
      </x:c>
      <x:c r="D10" s="138" t="str">
        <x:v>M12-4 waterproof</x:v>
      </x:c>
      <x:c r="E10" s="138" t="str">
        <x:v>Shared by DW7P and current BA5-I/O</x:v>
      </x:c>
    </x:row>
    <x:row r="11" ht="53" customHeight="1">
      <x:c r="A11" s="136" t="str">
        <x:v>BA5 extension</x:v>
      </x:c>
      <x:c r="B11" s="136" t="str">
        <x:v>7 m</x:v>
      </x:c>
      <x:c r="C11" s="137" t="str">
        <x:v>1260040100475</x:v>
      </x:c>
      <x:c r="D11" s="136" t="str">
        <x:v>Compatible with M12-4 BA5 system</x:v>
      </x:c>
      <x:c r="E11" s="136" t="str">
        <x:v>Order only if 7m cable is needed</x:v>
      </x:c>
    </x:row>
    <x:row r="12" ht="53" customHeight="1">
      <x:c r="A12" s="138" t="str">
        <x:v>DP7S display cable</x:v>
      </x:c>
      <x:c r="B12" s="138" t="str">
        <x:v>3 m</x:v>
      </x:c>
      <x:c r="C12" s="139" t="str">
        <x:v>1210030000163</x:v>
      </x:c>
      <x:c r="D12" s="138" t="str">
        <x:v>DP7S</x:v>
      </x:c>
      <x:c r="E12" s="138" t="str">
        <x:v>Separate order; not included with display</x:v>
      </x:c>
    </x:row>
    <x:row r="13" ht="53" customHeight="1">
      <x:c r="A13" s="136" t="str">
        <x:v>BA5-I/O dual alarm adapter</x:v>
      </x:c>
      <x:c r="B13" s="136" t="str">
        <x:v>0.3m / as supplied</x:v>
      </x:c>
      <x:c r="C13" s="137" t="str">
        <x:v>1261050100490</x:v>
      </x:c>
      <x:c r="D13" s="136" t="str">
        <x:v>RS485 dual BA5 current</x:v>
      </x:c>
      <x:c r="E13" s="136" t="str">
        <x:v>Mandatory separate purchase 1/vehicle if both BA5 fitted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d91b154c49ee482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51" hidden="0" customWidth="1"/>
    <x:col min="3" max="3" width="72" hidden="0" customWidth="1"/>
    <x:col min="4" max="4" width="79" hidden="0" customWidth="1"/>
    <x:col min="5" max="5" width="24" hidden="0" customWidth="1"/>
    <x:col min="6" max="6" width="75" hidden="0" customWidth="1"/>
  </x:cols>
  <x:sheetData>
    <x:row r="1" ht="38" customHeight="1">
      <x:c r="A1" s="144" t="str">
        <x:v>06  CUSTOMER FIT | C53 / C46 / AVM &amp; DISPLAY</x:v>
      </x:c>
      <x:c r="B1" s="144"/>
      <x:c r="C1" s="144"/>
      <x:c r="D1" s="144"/>
      <x:c r="E1" s="144"/>
      <x:c r="F1" s="144"/>
    </x:row>
    <x:row r="2" ht="43" customHeight="1">
      <x:c r="A2" s="145" t="str">
        <x:v>Aligned with customer-authoritative C01–C11: C53 front-side long/same-side blind spots (C03); AVM bird’s-eye driver preference (C04); C46 flexible edge AI (C01/C02/C06–C11).</x:v>
      </x:c>
      <x:c r="B2" s="145"/>
      <x:c r="C2" s="145"/>
      <x:c r="D2" s="145"/>
      <x:c r="E2" s="145"/>
      <x:c r="F2" s="145"/>
    </x:row>
    <x:row r="3" ht="54" customHeight="1">
      <x:c r="A3" s="149" t="str">
        <x:v>Display selection: waterproof requirement determines DW7P vs DP7S. Refer to canonical Routes, SKU Master and 03 Technical Matrix; no legacy code used as active route ID.</x:v>
      </x:c>
      <x:c r="B3" s="149"/>
      <x:c r="C3" s="149"/>
      <x:c r="D3" s="149"/>
      <x:c r="E3" s="149"/>
      <x:c r="F3" s="149"/>
    </x:row>
    <x:row r="4" ht="40" customHeight="1">
      <x:c r="A4" s="141" t="str">
        <x:v>Solution</x:v>
      </x:c>
      <x:c r="B4" s="141" t="str">
        <x:v>Vehicle / risk fit</x:v>
      </x:c>
      <x:c r="C4" s="141" t="str">
        <x:v>Hardware placement &amp; coverage</x:v>
      </x:c>
      <x:c r="D4" s="141" t="str">
        <x:v>Driver habits / perceived value</x:v>
      </x:c>
      <x:c r="E4" s="141" t="str">
        <x:v>Relative compute</x:v>
      </x:c>
      <x:c r="F4" s="141" t="str">
        <x:v>Limitations / purchase notes</x:v>
      </x:c>
    </x:row>
    <x:row r="5" ht="84" customHeight="1">
      <x:c r="A5" s="136" t="str">
        <x:v>C53</x:v>
      </x:c>
      <x:c r="B5" s="136" t="str">
        <x:v>Long side plus front SAME-SIDE blind spots</x:v>
      </x:c>
      <x:c r="C5" s="136" t="str">
        <x:v>Must be installed at vehicle front for intended long-side/front-side coverage</x:v>
      </x:c>
      <x:c r="D5" s="136" t="str">
        <x:v>Driver benefits from targeted alerts on large/long vehicle side</x:v>
      </x:c>
      <x:c r="E5" s="136" t="str">
        <x:v>Highest (qualitative)</x:v>
      </x:c>
      <x:c r="F5" s="136" t="str">
        <x:v>Application-specific C53 install; verify regulatory/QA status</x:v>
      </x:c>
    </x:row>
    <x:row r="6" ht="84" customHeight="1">
      <x:c r="A6" s="138" t="str">
        <x:v>C46</x:v>
      </x:c>
      <x:c r="B6" s="138" t="str">
        <x:v>Construction/on-road/forklift varied localized blind spots</x:v>
      </x:c>
      <x:c r="C6" s="138" t="str">
        <x:v>Flexible vehicle mounting locations, scenario-specific on-device AI model/application</x:v>
      </x:c>
      <x:c r="D6" s="138" t="str">
        <x:v>Drivers/fleets prioritizing active alerts for specific hazard zones</x:v>
      </x:c>
      <x:c r="E6" s="138" t="str">
        <x:v>Middle (qualitative)</x:v>
      </x:c>
      <x:c r="F6" s="138" t="str">
        <x:v>IPC 0023 direct RS765-6; non-waterproof connector; AHD separate</x:v>
      </x:c>
    </x:row>
    <x:row r="7" ht="84" customHeight="1">
      <x:c r="A7" s="136" t="str">
        <x:v>AVM / 360°</x:v>
      </x:c>
      <x:c r="B7" s="136" t="str">
        <x:v>Bird’s-eye surround view / panoramic awareness</x:v>
      </x:c>
      <x:c r="C7" s="136" t="str">
        <x:v>Vehicle calibrated multi-camera surround view</x:v>
      </x:c>
      <x:c r="D7" s="136" t="str">
        <x:v>Useful to drivers checking surroundings before starting or low-speed turns; familiar car 360° view</x:v>
      </x:c>
      <x:c r="E7" s="136" t="str">
        <x:v>Lower (qualitative)</x:v>
      </x:c>
      <x:c r="F7" s="136" t="str">
        <x:v>Strong immediately visible "wow" value; never assume every AVM includes AI object detection</x:v>
      </x:c>
    </x:row>
    <x:row r="8" ht="84" customHeight="1">
      <x:c r="A8" s="138" t="str">
        <x:v>Display: DP7S</x:v>
      </x:c>
      <x:c r="B8" s="138" t="str">
        <x:v>Customer does NOT require waterproof display</x:v>
      </x:c>
      <x:c r="C8" s="138" t="str">
        <x:v>DP7S with-logo 5146026100001 MDVR-power; without-logo 5190012100084 MDVR/vehicle power</x:v>
      </x:c>
      <x:c r="D8" s="138" t="str">
        <x:v>Standard screen for lower ingress demands</x:v>
      </x:c>
      <x:c r="E8" s="138" t="str">
        <x:v>N/A</x:v>
      </x:c>
      <x:c r="F8" s="138" t="str">
        <x:v>Display cable 1210030000163 purchased separately</x:v>
      </x:c>
    </x:row>
    <x:row r="9" ht="84" customHeight="1">
      <x:c r="A9" s="136" t="str">
        <x:v>Display: DW7P</x:v>
      </x:c>
      <x:c r="B9" s="136" t="str">
        <x:v>Customer requires WATERPROOF display</x:v>
      </x:c>
      <x:c r="C9" s="136" t="str">
        <x:v>DW7P 5146054100001: MDVR/vehicle power; mounting hardware/base cable included</x:v>
      </x:c>
      <x:c r="D9" s="136" t="str">
        <x:v>Preferred when screen is exposed to weather/washing</x:v>
      </x:c>
      <x:c r="E9" s="136" t="str">
        <x:v>N/A</x:v>
      </x:c>
      <x:c r="F9" s="136" t="str">
        <x:v>Optional shared 3m extension 1260010100265 separately purchased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b8a3f87ce2b34c0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4" hidden="0" customWidth="1"/>
    <x:col min="3" max="3" width="33" hidden="0" customWidth="1"/>
    <x:col min="4" max="4" width="66" hidden="0" customWidth="1"/>
    <x:col min="5" max="5" width="58" hidden="0" customWidth="1"/>
    <x:col min="6" max="6" width="42" hidden="0" customWidth="1"/>
  </x:cols>
  <x:sheetData>
    <x:row r="1" ht="38" customHeight="1">
      <x:c r="A1" s="144" t="str">
        <x:v>07  INSTALLATION &amp; TOTAL COST OF OWNERSHIP (TCO)</x:v>
      </x:c>
      <x:c r="B1" s="144"/>
      <x:c r="C1" s="144"/>
      <x:c r="D1" s="144"/>
      <x:c r="E1" s="144"/>
      <x:c r="F1" s="144"/>
    </x:row>
    <x:row r="2" ht="43" customHeight="1">
      <x:c r="A2" s="145" t="str">
        <x:v>2026 one-project example: M3N + 4×C46 + display + BA5-I/O; 2 installers × 3 hrs + 1 installer × 4 hrs = 10 person-hours.</x:v>
      </x:c>
      <x:c r="B2" s="145"/>
      <x:c r="C2" s="145"/>
      <x:c r="D2" s="145"/>
      <x:c r="E2" s="145"/>
      <x:c r="F2" s="145"/>
    </x:row>
    <x:row r="3" ht="51" customHeight="1">
      <x:c r="A3" s="227" t="str">
        <x:v>Example only; site/time and rates differ by region. Enter local pricing to see per-vehicle installation, first-year and multi-year ownership cost.</x:v>
      </x:c>
      <x:c r="B3" s="227"/>
      <x:c r="C3" s="227"/>
      <x:c r="D3" s="227"/>
      <x:c r="E3" s="227"/>
      <x:c r="F3" s="227"/>
    </x:row>
    <x:row r="4" ht="40" customHeight="1">
      <x:c r="A4" s="141" t="str">
        <x:v>Work stage</x:v>
      </x:c>
      <x:c r="B4" s="141" t="str">
        <x:v>Crew</x:v>
      </x:c>
      <x:c r="C4" s="141" t="str">
        <x:v>Hours per installer</x:v>
      </x:c>
      <x:c r="D4" s="141" t="str">
        <x:v>Person-hours</x:v>
      </x:c>
      <x:c r="E4" s="141" t="str">
        <x:v>Scope</x:v>
      </x:c>
      <x:c r="F4" s="141" t="str">
        <x:v>Notes</x:v>
      </x:c>
    </x:row>
    <x:row r="5" ht="41" customHeight="1">
      <x:c r="A5" s="136" t="str">
        <x:v>Installation</x:v>
      </x:c>
      <x:c r="B5" s="136" t="n">
        <x:v>2</x:v>
      </x:c>
      <x:c r="C5" s="136" t="n">
        <x:v>3</x:v>
      </x:c>
      <x:c r="D5" s="225" t="n">
        <x:f>B5*C5</x:f>
        <x:v>6</x:v>
      </x:c>
      <x:c r="E5" s="136" t="str">
        <x:v>4 cameras, display, alarm, cabling, initial tests</x:v>
      </x:c>
      <x:c r="F5" s="136" t="str">
        <x:v>2026 sample only</x:v>
      </x:c>
    </x:row>
    <x:row r="6" ht="41" customHeight="1">
      <x:c r="A6" s="138" t="str">
        <x:v>IO and calibration</x:v>
      </x:c>
      <x:c r="B6" s="138" t="n">
        <x:v>1</x:v>
      </x:c>
      <x:c r="C6" s="138" t="n">
        <x:v>4</x:v>
      </x:c>
      <x:c r="D6" s="225" t="n">
        <x:f>B6*C6</x:f>
        <x:v>4</x:v>
      </x:c>
      <x:c r="E6" s="138" t="str">
        <x:v>Reverse/park signal and follow-up calibration</x:v>
      </x:c>
      <x:c r="F6" s="138" t="str">
        <x:v>2026 sample only</x:v>
      </x:c>
    </x:row>
    <x:row r="7" ht="53" customHeight="1">
      <x:c r="A7" s="225" t="str">
        <x:v>Total</x:v>
      </x:c>
      <x:c r="B7" s="225" t="str">
        <x:v>Two stages</x:v>
      </x:c>
      <x:c r="C7" s="225" t="n">
        <x:f>SUM(C5:C6)</x:f>
        <x:v>7</x:v>
      </x:c>
      <x:c r="D7" s="225" t="n">
        <x:f>SUM(D5:D6)</x:f>
        <x:v>10</x:v>
      </x:c>
      <x:c r="E7" s="225" t="str">
        <x:v>Approx. 7 effective elapsed work hours over two calendar days</x:v>
      </x:c>
      <x:c r="F7" s="225" t="str">
        <x:v>About 10 person-hours</x:v>
      </x:c>
    </x:row>
    <x:row r="8" ht="41" customHeight="1">
      <x:c r="A8" s="138"/>
      <x:c r="B8" s="138"/>
      <x:c r="C8" s="138"/>
      <x:c r="D8" s="138"/>
      <x:c r="E8" s="138"/>
      <x:c r="F8" s="138"/>
    </x:row>
    <x:row r="9" ht="36" customHeight="1">
      <x:c r="A9" s="143" t="str">
        <x:v>EDITABLE REGIONAL COST INPUTS | BLUE CELLS</x:v>
      </x:c>
      <x:c r="B9" s="143"/>
      <x:c r="C9" s="143"/>
      <x:c r="D9" s="143"/>
      <x:c r="E9" s="143"/>
      <x:c r="F9" s="143"/>
    </x:row>
    <x:row r="10" ht="38" customHeight="1">
      <x:c r="A10" s="141" t="str">
        <x:v>Input</x:v>
      </x:c>
      <x:c r="B10" s="141" t="str">
        <x:v>Editable value</x:v>
      </x:c>
      <x:c r="C10" s="141" t="str">
        <x:v>Units</x:v>
      </x:c>
      <x:c r="D10" s="141" t="str">
        <x:v>Explanation</x:v>
      </x:c>
      <x:c r="E10" s="141"/>
      <x:c r="F10" s="141"/>
    </x:row>
    <x:row r="11" ht="41" customHeight="1">
      <x:c r="A11" s="136" t="str">
        <x:v>Currency</x:v>
      </x:c>
      <x:c r="B11" s="244"/>
      <x:c r="C11" s="136" t="str">
        <x:v>USD / EUR / etc</x:v>
      </x:c>
      <x:c r="D11" s="136" t="str">
        <x:v>All prices use one currency</x:v>
      </x:c>
      <x:c r="E11" s="136"/>
      <x:c r="F11" s="136"/>
    </x:row>
    <x:row r="12" ht="41" customHeight="1">
      <x:c r="A12" s="138" t="str">
        <x:v>Country / area</x:v>
      </x:c>
      <x:c r="B12" s="244"/>
      <x:c r="C12" s="138" t="str">
        <x:v>Location</x:v>
      </x:c>
      <x:c r="D12" s="138" t="str">
        <x:v>Use local installation labor price</x:v>
      </x:c>
      <x:c r="E12" s="138"/>
      <x:c r="F12" s="138"/>
    </x:row>
    <x:row r="13" ht="41" customHeight="1">
      <x:c r="A13" s="136" t="str">
        <x:v>Vehicle count</x:v>
      </x:c>
      <x:c r="B13" s="244"/>
      <x:c r="C13" s="136" t="str">
        <x:v>vehicles</x:v>
      </x:c>
      <x:c r="D13" s="136" t="str">
        <x:v>For full fleet ownership total</x:v>
      </x:c>
      <x:c r="E13" s="136"/>
      <x:c r="F13" s="136"/>
    </x:row>
    <x:row r="14" ht="41" customHeight="1">
      <x:c r="A14" s="138" t="str">
        <x:v>Hardware per vehicle</x:v>
      </x:c>
      <x:c r="B14" s="245"/>
      <x:c r="C14" s="138" t="str">
        <x:v>currency / vehicle</x:v>
      </x:c>
      <x:c r="D14" s="138" t="str">
        <x:v>Host, cameras, alarms and chosen display</x:v>
      </x:c>
      <x:c r="E14" s="138"/>
      <x:c r="F14" s="138"/>
    </x:row>
    <x:row r="15" ht="41" customHeight="1">
      <x:c r="A15" s="136" t="str">
        <x:v>External accessories per vehicle</x:v>
      </x:c>
      <x:c r="B15" s="245"/>
      <x:c r="C15" s="136" t="str">
        <x:v>currency / vehicle</x:v>
      </x:c>
      <x:c r="D15" s="136" t="str">
        <x:v>Only separately purchased extensions, switch etc; exclude in-kit parts</x:v>
      </x:c>
      <x:c r="E15" s="136"/>
      <x:c r="F15" s="136"/>
    </x:row>
    <x:row r="16" ht="41" customHeight="1">
      <x:c r="A16" s="138" t="str">
        <x:v>Local installer hourly rate</x:v>
      </x:c>
      <x:c r="B16" s="245"/>
      <x:c r="C16" s="138" t="str">
        <x:v>currency / person-hour</x:v>
      </x:c>
      <x:c r="D16" s="138" t="str">
        <x:v>Rate determined by country/region</x:v>
      </x:c>
      <x:c r="E16" s="138"/>
      <x:c r="F16" s="138"/>
    </x:row>
    <x:row r="17" ht="41" customHeight="1">
      <x:c r="A17" s="136" t="str">
        <x:v>Other install expense / vehicle</x:v>
      </x:c>
      <x:c r="B17" s="245"/>
      <x:c r="C17" s="136" t="str">
        <x:v>currency / vehicle</x:v>
      </x:c>
      <x:c r="D17" s="136" t="str">
        <x:v>Extra installation and site costs excluding direct hourly labor</x:v>
      </x:c>
      <x:c r="E17" s="136"/>
      <x:c r="F17" s="136"/>
    </x:row>
    <x:row r="18" ht="41" customHeight="1">
      <x:c r="A18" s="138" t="str">
        <x:v>Deployment/training / vehicle</x:v>
      </x:c>
      <x:c r="B18" s="245"/>
      <x:c r="C18" s="138" t="str">
        <x:v>currency / vehicle</x:v>
      </x:c>
      <x:c r="D18" s="138" t="str">
        <x:v>Enter zero if confirmed none</x:v>
      </x:c>
      <x:c r="E18" s="138"/>
      <x:c r="F18" s="138"/>
    </x:row>
    <x:row r="19" ht="41" customHeight="1">
      <x:c r="A19" s="136" t="str">
        <x:v>Annual cloud/platform / vehicle</x:v>
      </x:c>
      <x:c r="B19" s="245"/>
      <x:c r="C19" s="136" t="str">
        <x:v>currency / year</x:v>
      </x:c>
      <x:c r="D19" s="136" t="str">
        <x:v>Enter zero if confirmed none</x:v>
      </x:c>
      <x:c r="E19" s="136"/>
      <x:c r="F19" s="136"/>
    </x:row>
    <x:row r="20" ht="41" customHeight="1">
      <x:c r="A20" s="138" t="str">
        <x:v>Annual maintenance / vehicle</x:v>
      </x:c>
      <x:c r="B20" s="245"/>
      <x:c r="C20" s="138" t="str">
        <x:v>currency / year</x:v>
      </x:c>
      <x:c r="D20" s="138" t="str">
        <x:v>Enter zero if confirmed none</x:v>
      </x:c>
      <x:c r="E20" s="138"/>
      <x:c r="F20" s="138"/>
    </x:row>
    <x:row r="21" ht="41" customHeight="1">
      <x:c r="A21" s="136" t="str">
        <x:v>Ownership period (years)</x:v>
      </x:c>
      <x:c r="B21" s="246" t="n">
        <x:v>3</x:v>
      </x:c>
      <x:c r="C21" s="136" t="str">
        <x:v>years</x:v>
      </x:c>
      <x:c r="D21" s="136" t="str">
        <x:v>Adjust for the project TCO horizon</x:v>
      </x:c>
      <x:c r="E21" s="136"/>
      <x:c r="F21" s="136"/>
    </x:row>
    <x:row r="22" ht="41" customHeight="1">
      <x:c r="A22" s="138"/>
      <x:c r="B22" s="138"/>
      <x:c r="C22" s="138"/>
      <x:c r="D22" s="138"/>
      <x:c r="E22" s="138"/>
      <x:c r="F22" s="138"/>
    </x:row>
    <x:row r="23" ht="36" customHeight="1">
      <x:c r="A23" s="143" t="str">
        <x:v>CALCULATED RESULTS | LEAVE INPUTS BLANK IF UNKNOWN</x:v>
      </x:c>
      <x:c r="B23" s="143"/>
      <x:c r="C23" s="143"/>
      <x:c r="D23" s="143"/>
      <x:c r="E23" s="143"/>
      <x:c r="F23" s="143"/>
    </x:row>
    <x:row r="24" ht="41" customHeight="1">
      <x:c r="A24" s="138" t="str">
        <x:v>Installation labor / vehicle</x:v>
      </x:c>
      <x:c r="B24" s="249" t="str">
        <x:f>IF(OR(B16="",D7=""),"",B16*D7)</x:f>
      </x:c>
      <x:c r="C24" s="138" t="str">
        <x:v>currency / vehicle</x:v>
      </x:c>
      <x:c r="D24" s="138" t="str">
        <x:v>Labor hours × regional rate</x:v>
      </x:c>
      <x:c r="E24" s="138"/>
      <x:c r="F24" s="138"/>
    </x:row>
    <x:row r="25" ht="41" customHeight="1">
      <x:c r="A25" s="136" t="str">
        <x:v>One-off cost / vehicle</x:v>
      </x:c>
      <x:c r="B25" s="249" t="str">
        <x:f>IF(OR(COUNT(B14:B18)&lt;5,B24=""),"",SUM(B14:B15)+B24+B17+B18)</x:f>
      </x:c>
      <x:c r="C25" s="136" t="str">
        <x:v>currency / vehicle</x:v>
      </x:c>
      <x:c r="D25" s="136" t="str">
        <x:v>Hardware + accessories + installation + deployment</x:v>
      </x:c>
      <x:c r="E25" s="136"/>
      <x:c r="F25" s="136"/>
    </x:row>
    <x:row r="26" ht="41" customHeight="1">
      <x:c r="A26" s="138" t="str">
        <x:v>Annual recurring / vehicle</x:v>
      </x:c>
      <x:c r="B26" s="249" t="str">
        <x:f>IF(COUNT(B19:B20)&lt;2,"",SUM(B19:B20))</x:f>
      </x:c>
      <x:c r="C26" s="138" t="str">
        <x:v>currency / year</x:v>
      </x:c>
      <x:c r="D26" s="138" t="str">
        <x:v>Cloud/platform + maintenance</x:v>
      </x:c>
      <x:c r="E26" s="138"/>
      <x:c r="F26" s="138"/>
    </x:row>
    <x:row r="27" ht="41" customHeight="1">
      <x:c r="A27" s="136" t="str">
        <x:v>First-year TCO / vehicle</x:v>
      </x:c>
      <x:c r="B27" s="249" t="str">
        <x:f>IF(OR(B25="",B26=""),"",B25+B26)</x:f>
      </x:c>
      <x:c r="C27" s="136" t="str">
        <x:v>currency / vehicle</x:v>
      </x:c>
      <x:c r="D27" s="136" t="str">
        <x:v>One-off + first annual recurring</x:v>
      </x:c>
      <x:c r="E27" s="136"/>
      <x:c r="F27" s="136"/>
    </x:row>
    <x:row r="28" ht="41" customHeight="1">
      <x:c r="A28" s="138" t="str">
        <x:v>Selected-period TCO / vehicle</x:v>
      </x:c>
      <x:c r="B28" s="249" t="str">
        <x:f>IF(OR(B25="",B26="",B21=""),"",B25+B26*B21)</x:f>
      </x:c>
      <x:c r="C28" s="138" t="str">
        <x:v>currency / vehicle</x:v>
      </x:c>
      <x:c r="D28" s="138" t="str">
        <x:v>One-off + annual recurring × years</x:v>
      </x:c>
      <x:c r="E28" s="138"/>
      <x:c r="F28" s="138"/>
    </x:row>
    <x:row r="29" ht="41" customHeight="1">
      <x:c r="A29" s="136" t="str">
        <x:v>Selected-period fleet TCO</x:v>
      </x:c>
      <x:c r="B29" s="249" t="str">
        <x:f>IF(OR(B28="",B13=""),"",B28*B13)</x:f>
      </x:c>
      <x:c r="C29" s="136" t="str">
        <x:v>currency / fleet</x:v>
      </x:c>
      <x:c r="D29" s="136" t="str">
        <x:v>Per-vehicle TCO × number of vehicles</x:v>
      </x:c>
      <x:c r="E29" s="136"/>
      <x:c r="F29" s="136"/>
    </x:row>
    <x:row r="30" ht="41" customHeight="1">
      <x:c r="A30" s="138" t="str">
        <x:v>Installed-service cost / vehicle</x:v>
      </x:c>
      <x:c r="B30" s="249" t="str">
        <x:f>IF(OR(B24="",B17=""),"",B24+B17)</x:f>
      </x:c>
      <x:c r="C30" s="138" t="str">
        <x:v>currency / vehicle</x:v>
      </x:c>
      <x:c r="D30" s="138" t="str">
        <x:v>Labor + other installation</x:v>
      </x:c>
      <x:c r="E30" s="138"/>
      <x:c r="F30" s="138"/>
    </x:row>
    <x:row r="31" ht="41" customHeight="1">
      <x:c r="A31" s="136"/>
      <x:c r="B31" s="136"/>
      <x:c r="C31" s="136"/>
      <x:c r="D31" s="136"/>
      <x:c r="E31" s="136"/>
      <x:c r="F31" s="136"/>
    </x:row>
    <x:row r="32" ht="36" customHeight="1">
      <x:c r="A32" s="143" t="str">
        <x:v>MODEL BOUNDARIES &amp; PRE-SEND RULE</x:v>
      </x:c>
      <x:c r="B32" s="143"/>
      <x:c r="C32" s="143"/>
      <x:c r="D32" s="143"/>
      <x:c r="E32" s="143"/>
      <x:c r="F32" s="143"/>
    </x:row>
    <x:row r="33" ht="49" customHeight="1">
      <x:c r="A33" s="136" t="str">
        <x:v>2026 installation data is one vehicle sample, not an installation-time guarantee.</x:v>
      </x:c>
      <x:c r="B33" s="136"/>
      <x:c r="C33" s="136"/>
      <x:c r="D33" s="136"/>
      <x:c r="E33" s="136"/>
      <x:c r="F33" s="136"/>
    </x:row>
    <x:row r="34" ht="49" customHeight="1">
      <x:c r="A34" s="138" t="str">
        <x:v>Blank cost inputs mean unknown, not free; enter 0 for a confirmed zero-cost item.</x:v>
      </x:c>
      <x:c r="B34" s="138"/>
      <x:c r="C34" s="138"/>
      <x:c r="D34" s="138"/>
      <x:c r="E34" s="138"/>
      <x:c r="F34" s="138"/>
    </x:row>
    <x:row r="35" ht="49" customHeight="1">
      <x:c r="A35" s="136" t="str">
        <x:v>This is undiscounted and does not automatically include taxes, financing or vehicle downtime.</x:v>
      </x:c>
      <x:c r="B35" s="136"/>
      <x:c r="C35" s="136"/>
      <x:c r="D35" s="136"/>
      <x:c r="E35" s="136"/>
      <x:c r="F35" s="136"/>
    </x:row>
    <x:row r="36" ht="49" customHeight="1">
      <x:c r="A36" s="138" t="str">
        <x:v>Before customer release, recheck entire assembled BOM in ERP/PDM or have the Product Manager confirm completeness.</x:v>
      </x:c>
      <x:c r="B36" s="138"/>
      <x:c r="C36" s="138"/>
      <x:c r="D36" s="138"/>
      <x:c r="E36" s="138"/>
      <x:c r="F36" s="138"/>
    </x:row>
  </x:sheetData>
  <x:mergeCells>
    <x:mergeCell ref="A1:F1"/>
    <x:mergeCell ref="A2:F2"/>
    <x:mergeCell ref="A3:F3"/>
    <x:mergeCell ref="A9:F9"/>
    <x:mergeCell ref="A23:F23"/>
    <x:mergeCell ref="A32:F32"/>
    <x:mergeCell ref="A33:F33"/>
    <x:mergeCell ref="A34:F34"/>
    <x:mergeCell ref="A35:F35"/>
    <x:mergeCell ref="A36:F3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4" hidden="0" customWidth="1"/>
    <x:col min="3" max="3" width="28" hidden="0" customWidth="1"/>
    <x:col min="4" max="4" width="68" hidden="0" customWidth="1"/>
    <x:col min="5" max="5" width="26" hidden="0" customWidth="1"/>
  </x:cols>
  <x:sheetData>
    <x:row r="1" ht="38" customHeight="1">
      <x:c r="A1" s="144" t="str">
        <x:v>08  CUSTOMER RELEASE | SECOND BOM CHECK</x:v>
      </x:c>
      <x:c r="B1" s="144"/>
      <x:c r="C1" s="144"/>
      <x:c r="D1" s="144"/>
      <x:c r="E1" s="144"/>
    </x:row>
    <x:row r="2" ht="43" customHeight="1">
      <x:c r="A2" s="145" t="str">
        <x:v>The Configurator generates an internal BOM proposal. Customer-facing kits MUST be checked in the system or approved by Product Manager.</x:v>
      </x:c>
      <x:c r="B2" s="145"/>
      <x:c r="C2" s="145"/>
      <x:c r="D2" s="145"/>
      <x:c r="E2" s="145"/>
    </x:row>
    <x:row r="3" ht="54" customHeight="1">
      <x:c r="A3" s="149" t="str">
        <x:v>Nothing here proves certification, hardware QA or country approval: refer technical questions and evidence to 03_Technical_Compatibility_and_Validation_Matrix.xlsx.</x:v>
      </x:c>
      <x:c r="B3" s="149"/>
      <x:c r="C3" s="149"/>
      <x:c r="D3" s="149"/>
      <x:c r="E3" s="149"/>
    </x:row>
    <x:row r="4" ht="40" customHeight="1">
      <x:c r="A4" s="141" t="str">
        <x:v>Step</x:v>
      </x:c>
      <x:c r="B4" s="141" t="str">
        <x:v>Required sales action</x:v>
      </x:c>
      <x:c r="C4" s="141" t="str">
        <x:v>Owner</x:v>
      </x:c>
      <x:c r="D4" s="141" t="str">
        <x:v>Evidence / deliverable</x:v>
      </x:c>
      <x:c r="E4" s="141" t="str">
        <x:v>Status</x:v>
      </x:c>
    </x:row>
    <x:row r="5" ht="77" customHeight="1">
      <x:c r="A5" s="136" t="str">
        <x:v>1. Select route</x:v>
      </x:c>
      <x:c r="B5" s="136" t="str">
        <x:v>Use the official C01–C11 route ID. C06–C10 are the detailed Construction routes; C01–C05 and C11 require project-specific confirmation.</x:v>
      </x:c>
      <x:c r="C5" s="136" t="str">
        <x:v>Sales</x:v>
      </x:c>
      <x:c r="D5" s="136" t="str">
        <x:v>Chosen Config ID and customer vehicle profile</x:v>
      </x:c>
      <x:c r="E5" s="242" t="str">
        <x:v>Pending</x:v>
      </x:c>
    </x:row>
    <x:row r="6" ht="77" customHeight="1">
      <x:c r="A6" s="138" t="str">
        <x:v>2. Vehicle &amp; camera fit</x:v>
      </x:c>
      <x:c r="B6" s="138" t="str">
        <x:v>Record model, risk coverage, camera count, power, cable run and driver habits.</x:v>
      </x:c>
      <x:c r="C6" s="138" t="str">
        <x:v>Sales + FAE</x:v>
      </x:c>
      <x:c r="D6" s="138" t="str">
        <x:v>Vehicle fitment input and cable lengths</x:v>
      </x:c>
      <x:c r="E6" s="242" t="str">
        <x:v>Pending</x:v>
      </x:c>
    </x:row>
    <x:row r="7" ht="77" customHeight="1">
      <x:c r="A7" s="136" t="str">
        <x:v>3. Display selection</x:v>
      </x:c>
      <x:c r="B7" s="136" t="str">
        <x:v>Waterproof required? DW7P. Otherwise DP7S; confirm power and separately purchased cable.</x:v>
      </x:c>
      <x:c r="C7" s="136" t="str">
        <x:v>Sales + FAE</x:v>
      </x:c>
      <x:c r="D7" s="136" t="str">
        <x:v>Chosen display and extensions</x:v>
      </x:c>
      <x:c r="E7" s="242" t="str">
        <x:v>Pending</x:v>
      </x:c>
    </x:row>
    <x:row r="8" ht="77" customHeight="1">
      <x:c r="A8" s="138" t="str">
        <x:v>4. Alarm and wiring</x:v>
      </x:c>
      <x:c r="B8" s="138" t="str">
        <x:v>BA5-O ×1. BA5-I ×1 strongly recommended when &gt;2 blind spots. If both fitted order 0490 ×1 separately.</x:v>
      </x:c>
      <x:c r="C8" s="138" t="str">
        <x:v>Sales + FAE</x:v>
      </x:c>
      <x:c r="D8" s="138" t="str">
        <x:v>BA5 quantity and adapter condition</x:v>
      </x:c>
      <x:c r="E8" s="242" t="str">
        <x:v>Pending</x:v>
      </x:c>
    </x:row>
    <x:row r="9" ht="77" customHeight="1">
      <x:c r="A9" s="136" t="str">
        <x:v>5. Kit inclusion check</x:v>
      </x:c>
      <x:c r="B9" s="136" t="str">
        <x:v>No duplicate host-included 20-pin/antenna/mounts. Confirm storage difference and every cable.</x:v>
      </x:c>
      <x:c r="C9" s="136" t="str">
        <x:v>Sales + Purchasing</x:v>
      </x:c>
      <x:c r="D9" s="136" t="str">
        <x:v>Final per-vehicle kit inventory</x:v>
      </x:c>
      <x:c r="E9" s="242" t="str">
        <x:v>Pending</x:v>
      </x:c>
    </x:row>
    <x:row r="10" ht="77" customHeight="1">
      <x:c r="A10" s="138" t="str">
        <x:v>6. Mandatory second verification</x:v>
      </x:c>
      <x:c r="B10" s="138" t="str">
        <x:v>Recheck every assembled SKU, regional kit, qty and revision in ERP/PDM OR obtain PM sign-off.</x:v>
      </x:c>
      <x:c r="C10" s="138" t="str">
        <x:v>PM / system reviewer</x:v>
      </x:c>
      <x:c r="D10" s="138" t="str">
        <x:v>Recorded system verification or PM approval</x:v>
      </x:c>
      <x:c r="E10" s="242" t="str">
        <x:v>Pending</x:v>
      </x:c>
    </x:row>
    <x:row r="11" ht="77" customHeight="1">
      <x:c r="A11" s="136" t="str">
        <x:v>7. Release to customer</x:v>
      </x:c>
      <x:c r="B11" s="136" t="str">
        <x:v>Do not send complete kit/quotation until all relevant checks clear and approved copy is available.</x:v>
      </x:c>
      <x:c r="C11" s="136" t="str">
        <x:v>Sales manager</x:v>
      </x:c>
      <x:c r="D11" s="136" t="str">
        <x:v>Customer-ready approved BOM</x:v>
      </x:c>
      <x:c r="E11" s="242" t="str">
        <x:v>NOT RELEASED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385cad316dc14a94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6" hidden="0" customWidth="1"/>
    <x:col min="3" max="3" width="23" hidden="0" customWidth="1"/>
    <x:col min="4" max="4" width="36" hidden="0" customWidth="1"/>
    <x:col min="5" max="5" width="34" hidden="0" customWidth="1"/>
    <x:col min="6" max="6" width="35" hidden="0" customWidth="1"/>
    <x:col min="7" max="7" width="36" hidden="0" customWidth="1"/>
    <x:col min="8" max="8" width="78" hidden="0" customWidth="1"/>
    <x:col min="9" max="9" width="26" hidden="0" customWidth="1"/>
  </x:cols>
  <x:sheetData>
    <x:row r="1" ht="38" customHeight="1">
      <x:c r="A1" s="144" t="str">
        <x:v>CURRENT SKU MASTER | SALES &amp; PROCUREMENT</x:v>
      </x:c>
      <x:c r="B1" s="144"/>
      <x:c r="C1" s="144"/>
      <x:c r="D1" s="144"/>
      <x:c r="E1" s="144"/>
      <x:c r="F1" s="144"/>
      <x:c r="G1" s="144"/>
      <x:c r="H1" s="144"/>
      <x:c r="I1" s="144"/>
    </x:row>
    <x:row r="2" ht="43" customHeight="1">
      <x:c r="A2" s="220" t="str">
        <x:v>47 unique current/non-legacy part numbers imported from the uploaded customer reference. SKU strings and order rules retained without substitutions.</x:v>
      </x:c>
      <x:c r="B2" s="220"/>
      <x:c r="C2" s="220"/>
      <x:c r="D2" s="220"/>
      <x:c r="E2" s="220"/>
      <x:c r="F2" s="220"/>
      <x:c r="G2" s="220"/>
      <x:c r="H2" s="220"/>
      <x:c r="I2" s="220"/>
    </x:row>
    <x:row r="3" ht="54" customHeight="1">
      <x:c r="A3" s="222" t="str">
        <x:v>Only this register is SKU authority in the sales workbook. Do NOT add legacy parts or unknown alternatives. Review ERP/PDM or PM before sending full kits.</x:v>
      </x:c>
      <x:c r="B3" s="222"/>
      <x:c r="C3" s="222"/>
      <x:c r="D3" s="222"/>
      <x:c r="E3" s="222"/>
      <x:c r="F3" s="222"/>
      <x:c r="G3" s="222"/>
      <x:c r="H3" s="222"/>
      <x:c r="I3" s="222"/>
    </x:row>
    <x:row r="4" ht="40" customHeight="1">
      <x:c r="A4" s="141" t="str">
        <x:v>Category</x:v>
      </x:c>
      <x:c r="B4" s="141" t="str">
        <x:v>Item / description</x:v>
      </x:c>
      <x:c r="C4" s="141" t="str">
        <x:v>Full SKU</x:v>
      </x:c>
      <x:c r="D4" s="141" t="str">
        <x:v>Applicable route / region</x:v>
      </x:c>
      <x:c r="E4" s="141" t="str">
        <x:v>Status / classification</x:v>
      </x:c>
      <x:c r="F4" s="141" t="str">
        <x:v>Qty / counting rule</x:v>
      </x:c>
      <x:c r="G4" s="141" t="str">
        <x:v>Procurement treatment</x:v>
      </x:c>
      <x:c r="H4" s="141" t="str">
        <x:v>Installation / compatibility notes</x:v>
      </x:c>
      <x:c r="I4" s="141" t="str">
        <x:v>Source</x:v>
      </x:c>
    </x:row>
    <x:row r="5" ht="58" customHeight="1">
      <x:c r="A5" s="136" t="str">
        <x:v>Host</x:v>
      </x:c>
      <x:c r="B5" s="136" t="str">
        <x:v>M3N H0404 North America kit</x:v>
      </x:c>
      <x:c r="C5" s="250" t="str">
        <x:v>5120121100005</x:v>
      </x:c>
      <x:c r="D5" s="136" t="str">
        <x:v>C06 / North America</x:v>
      </x:c>
      <x:c r="E5" s="136" t="str">
        <x:v>Standard / preferred</x:v>
      </x:c>
      <x:c r="F5" s="136" t="str">
        <x:v>1 kit/vehicle</x:v>
      </x:c>
      <x:c r="G5" s="136" t="str">
        <x:v>Order host kit</x:v>
      </x:c>
      <x:c r="H5" s="136" t="str">
        <x:v>4AHD+4IPC; enclosure included, HDD/SSD excluded; 20-pin harness and antennas included</x:v>
      </x:c>
      <x:c r="I5" s="136" t="str">
        <x:v>Confirmed Oct 22, 2026</x:v>
      </x:c>
    </x:row>
    <x:row r="6" ht="58" customHeight="1">
      <x:c r="A6" s="138" t="str">
        <x:v>Host</x:v>
      </x:c>
      <x:c r="B6" s="138" t="str">
        <x:v>M3N H0404 EU/Asia kit</x:v>
      </x:c>
      <x:c r="C6" s="251" t="str">
        <x:v>5120121100004</x:v>
      </x:c>
      <x:c r="D6" s="138" t="str">
        <x:v>M3N / EU/Asia</x:v>
      </x:c>
      <x:c r="E6" s="138" t="str">
        <x:v>Regional kit</x:v>
      </x:c>
      <x:c r="F6" s="138" t="str">
        <x:v>Select 1 by region</x:v>
      </x:c>
      <x:c r="G6" s="138" t="str">
        <x:v>Order kit</x:v>
      </x:c>
      <x:c r="H6" s="138" t="str">
        <x:v>Enclosure included; region-specific supply</x:v>
      </x:c>
      <x:c r="I6" s="138" t="str">
        <x:v>Confirmed Oct 22, 2026</x:v>
      </x:c>
    </x:row>
    <x:row r="7" ht="58" customHeight="1">
      <x:c r="A7" s="136" t="str">
        <x:v>Host</x:v>
      </x:c>
      <x:c r="B7" s="136" t="str">
        <x:v>M3N H0404 Latin America kit</x:v>
      </x:c>
      <x:c r="C7" s="250" t="str">
        <x:v>5120121100003</x:v>
      </x:c>
      <x:c r="D7" s="136" t="str">
        <x:v>M3N / Latin America</x:v>
      </x:c>
      <x:c r="E7" s="136" t="str">
        <x:v>Regional kit</x:v>
      </x:c>
      <x:c r="F7" s="136" t="str">
        <x:v>Select 1 by region</x:v>
      </x:c>
      <x:c r="G7" s="136" t="str">
        <x:v>Order kit</x:v>
      </x:c>
      <x:c r="H7" s="136" t="str">
        <x:v>Enclosure included; region-specific supply</x:v>
      </x:c>
      <x:c r="I7" s="136" t="str">
        <x:v>Confirmed Oct 22, 2026</x:v>
      </x:c>
    </x:row>
    <x:row r="8" ht="58" customHeight="1">
      <x:c r="A8" s="138" t="str">
        <x:v>Host</x:v>
      </x:c>
      <x:c r="B8" s="138" t="str">
        <x:v>M3N H0204 EU/Asia BSD kit</x:v>
      </x:c>
      <x:c r="C8" s="251" t="str">
        <x:v>5120182100013</x:v>
      </x:c>
      <x:c r="D8" s="138" t="str">
        <x:v>C10 / EU/Asia</x:v>
      </x:c>
      <x:c r="E8" s="138" t="str">
        <x:v>Existing EU/Asia kit</x:v>
      </x:c>
      <x:c r="F8" s="138" t="str">
        <x:v>1 kit/vehicle</x:v>
      </x:c>
      <x:c r="G8" s="138" t="str">
        <x:v>Order host kit</x:v>
      </x:c>
      <x:c r="H8" s="138" t="str">
        <x:v>2AHD+4IPC; includes 1TB SSD, enclosure, GPS, 4G, Wi-Fi and custom 20-pin cable; no MicroSD cards</x:v>
      </x:c>
      <x:c r="I8" s="138" t="str">
        <x:v>Confirmed Oct 22, 2026</x:v>
      </x:c>
    </x:row>
    <x:row r="9" ht="58" customHeight="1">
      <x:c r="A9" s="136" t="str">
        <x:v>Host</x:v>
      </x:c>
      <x:c r="B9" s="136" t="str">
        <x:v>M1N 2.0 EU/Asia w/enclosure</x:v>
      </x:c>
      <x:c r="C9" s="250" t="str">
        <x:v>5110038100028</x:v>
      </x:c>
      <x:c r="D9" s="136" t="str">
        <x:v>C07–C09 / EU/Asia</x:v>
      </x:c>
      <x:c r="E9" s="136" t="str">
        <x:v>Regional kit</x:v>
      </x:c>
      <x:c r="F9" s="136" t="str">
        <x:v>Select 1/vehicle; drive excluded</x:v>
      </x:c>
      <x:c r="G9" s="136" t="str">
        <x:v>Order host kit</x:v>
      </x:c>
      <x:c r="H9" s="136" t="str">
        <x:v>M1N H0402; supports 2/4/5 cameras</x:v>
      </x:c>
      <x:c r="I9" s="136" t="str">
        <x:v>Confirmed Oct 22, 2026</x:v>
      </x:c>
    </x:row>
    <x:row r="10" ht="58" customHeight="1">
      <x:c r="A10" s="138" t="str">
        <x:v>Host</x:v>
      </x:c>
      <x:c r="B10" s="138" t="str">
        <x:v>M1N 2.0 EU/Asia no enclosure</x:v>
      </x:c>
      <x:c r="C10" s="251" t="str">
        <x:v>5110038100029</x:v>
      </x:c>
      <x:c r="D10" s="138" t="str">
        <x:v>C07–C09 / EU/Asia</x:v>
      </x:c>
      <x:c r="E10" s="138" t="str">
        <x:v>Regional kit</x:v>
      </x:c>
      <x:c r="F10" s="138" t="str">
        <x:v>Select 1/vehicle</x:v>
      </x:c>
      <x:c r="G10" s="138" t="str">
        <x:v>Order host kit</x:v>
      </x:c>
      <x:c r="H10" s="138" t="str">
        <x:v>M1N H0402; supports 2/4/5 cameras</x:v>
      </x:c>
      <x:c r="I10" s="138" t="str">
        <x:v>Confirmed Oct 22, 2026</x:v>
      </x:c>
    </x:row>
    <x:row r="11" ht="58" customHeight="1">
      <x:c r="A11" s="136" t="str">
        <x:v>Host</x:v>
      </x:c>
      <x:c r="B11" s="136" t="str">
        <x:v>M1N 2.0 Latin America w/enclosure</x:v>
      </x:c>
      <x:c r="C11" s="250" t="str">
        <x:v>5110038100004</x:v>
      </x:c>
      <x:c r="D11" s="136" t="str">
        <x:v>C07–C09 / Latin America</x:v>
      </x:c>
      <x:c r="E11" s="136" t="str">
        <x:v>Regional kit</x:v>
      </x:c>
      <x:c r="F11" s="136" t="str">
        <x:v>Select 1/vehicle; drive excluded</x:v>
      </x:c>
      <x:c r="G11" s="136" t="str">
        <x:v>Order host kit</x:v>
      </x:c>
      <x:c r="H11" s="136" t="str">
        <x:v>M1N H0402; supports 2/4/5 cameras</x:v>
      </x:c>
      <x:c r="I11" s="136" t="str">
        <x:v>Confirmed Oct 22, 2026</x:v>
      </x:c>
    </x:row>
    <x:row r="12" ht="58" customHeight="1">
      <x:c r="A12" s="138" t="str">
        <x:v>Host</x:v>
      </x:c>
      <x:c r="B12" s="138" t="str">
        <x:v>M1N 2.0 Latin America no enclosure</x:v>
      </x:c>
      <x:c r="C12" s="251" t="str">
        <x:v>5110038100038</x:v>
      </x:c>
      <x:c r="D12" s="138" t="str">
        <x:v>C07–C09 / Latin America</x:v>
      </x:c>
      <x:c r="E12" s="138" t="str">
        <x:v>Regional kit</x:v>
      </x:c>
      <x:c r="F12" s="138" t="str">
        <x:v>Select 1/vehicle</x:v>
      </x:c>
      <x:c r="G12" s="138" t="str">
        <x:v>Order host kit</x:v>
      </x:c>
      <x:c r="H12" s="138" t="str">
        <x:v>M1N H0402; supports 2/4/5 cameras</x:v>
      </x:c>
      <x:c r="I12" s="138" t="str">
        <x:v>Confirmed Oct 22, 2026</x:v>
      </x:c>
    </x:row>
    <x:row r="13" ht="58" customHeight="1">
      <x:c r="A13" s="136" t="str">
        <x:v>Host</x:v>
      </x:c>
      <x:c r="B13" s="136" t="str">
        <x:v>M1N 2.0 North America w/enclosure</x:v>
      </x:c>
      <x:c r="C13" s="250" t="str">
        <x:v>5110038100014</x:v>
      </x:c>
      <x:c r="D13" s="136" t="str">
        <x:v>C07–C09 / North America</x:v>
      </x:c>
      <x:c r="E13" s="136" t="str">
        <x:v>Regional kit</x:v>
      </x:c>
      <x:c r="F13" s="136" t="str">
        <x:v>Select 1/vehicle; drive excluded</x:v>
      </x:c>
      <x:c r="G13" s="136" t="str">
        <x:v>Order host kit</x:v>
      </x:c>
      <x:c r="H13" s="136" t="str">
        <x:v>M1N H0402; supports 2/4/5 cameras</x:v>
      </x:c>
      <x:c r="I13" s="136" t="str">
        <x:v>Confirmed Oct 22, 2026</x:v>
      </x:c>
    </x:row>
    <x:row r="14" ht="58" customHeight="1">
      <x:c r="A14" s="138" t="str">
        <x:v>Host</x:v>
      </x:c>
      <x:c r="B14" s="138" t="str">
        <x:v>M1N 2.0 North America no enclosure</x:v>
      </x:c>
      <x:c r="C14" s="251" t="str">
        <x:v>5110038100037</x:v>
      </x:c>
      <x:c r="D14" s="138" t="str">
        <x:v>C07–C09 / North America</x:v>
      </x:c>
      <x:c r="E14" s="138" t="str">
        <x:v>Regional kit</x:v>
      </x:c>
      <x:c r="F14" s="138" t="str">
        <x:v>Select 1/vehicle</x:v>
      </x:c>
      <x:c r="G14" s="138" t="str">
        <x:v>Order host kit</x:v>
      </x:c>
      <x:c r="H14" s="138" t="str">
        <x:v>M1N H0402; supports 2/4/5 cameras</x:v>
      </x:c>
      <x:c r="I14" s="138" t="str">
        <x:v>Confirmed Oct 22, 2026</x:v>
      </x:c>
    </x:row>
    <x:row r="15" ht="58" customHeight="1">
      <x:c r="A15" s="136" t="str">
        <x:v>Camera</x:v>
      </x:c>
      <x:c r="B15" s="136" t="str">
        <x:v>C46 IPC 6-pin RS765-6</x:v>
      </x:c>
      <x:c r="C15" s="250" t="str">
        <x:v>5152178100023</x:v>
      </x:c>
      <x:c r="D15" s="136" t="str">
        <x:v>C06–C10; C02/C11 by interface</x:v>
      </x:c>
      <x:c r="E15" s="136" t="str">
        <x:v>Standard IPC</x:v>
      </x:c>
      <x:c r="F15" s="136" t="str">
        <x:v>2/4/5 by route</x:v>
      </x:c>
      <x:c r="G15" s="136" t="str">
        <x:v>Order per camera</x:v>
      </x:c>
      <x:c r="H15" s="136" t="str">
        <x:v>Customized; direct RS765-6 extension; connector NOT waterproof; bracket/screws included</x:v>
      </x:c>
      <x:c r="I15" s="136" t="str">
        <x:v>Confirmed Oct 22, 2026</x:v>
      </x:c>
    </x:row>
    <x:row r="16" ht="58" customHeight="1">
      <x:c r="A16" s="138" t="str">
        <x:v>Camera</x:v>
      </x:c>
      <x:c r="B16" s="138" t="str">
        <x:v>C46 IPC 12-pin waterproof M12</x:v>
      </x:c>
      <x:c r="C16" s="251" t="str">
        <x:v>5152178100017</x:v>
      </x:c>
      <x:c r="D16" s="138" t="str">
        <x:v>M1N/M3N IPC; C06 PoC only</x:v>
      </x:c>
      <x:c r="E16" s="138" t="str">
        <x:v>C06 PoC fallback only</x:v>
      </x:c>
      <x:c r="F16" s="138" t="str">
        <x:v>Approved project quantity</x:v>
      </x:c>
      <x:c r="G16" s="138" t="str">
        <x:v>Order kit; adapter included</x:v>
      </x:c>
      <x:c r="H16" s="138" t="str">
        <x:v>Waterproof M12; adapter 0072, rain bracket and tool in kit; not production substitute on C06</x:v>
      </x:c>
      <x:c r="I16" s="138" t="str">
        <x:v>Confirmed Oct 22, 2026</x:v>
      </x:c>
    </x:row>
    <x:row r="17" ht="58" customHeight="1">
      <x:c r="A17" s="136" t="str">
        <x:v>Camera</x:v>
      </x:c>
      <x:c r="B17" s="136" t="str">
        <x:v>C46 AHD V1.1</x:v>
      </x:c>
      <x:c r="C17" s="250" t="str">
        <x:v>5152178100020</x:v>
      </x:c>
      <x:c r="D17" s="136" t="str">
        <x:v>C01/C11 AHD route</x:v>
      </x:c>
      <x:c r="E17" s="136" t="str">
        <x:v>AHD only</x:v>
      </x:c>
      <x:c r="F17" s="136" t="str">
        <x:v>By monitoring zones</x:v>
      </x:c>
      <x:c r="G17" s="136" t="str">
        <x:v>Order per camera</x:v>
      </x:c>
      <x:c r="H17" s="136" t="str">
        <x:v>Not interchangeable with IPC variants</x:v>
      </x:c>
      <x:c r="I17" s="136" t="str">
        <x:v>Confirmed Oct 22, 2026</x:v>
      </x:c>
    </x:row>
    <x:row r="18" ht="58" customHeight="1">
      <x:c r="A18" s="138" t="str">
        <x:v>Alarm</x:v>
      </x:c>
      <x:c r="B18" s="138" t="str">
        <x:v>BA5-I in-cab directional alarm · current</x:v>
      </x:c>
      <x:c r="C18" s="251" t="str">
        <x:v>5164002100004</x:v>
      </x:c>
      <x:c r="D18" s="138" t="str">
        <x:v>C06–C10</x:v>
      </x:c>
      <x:c r="E18" s="138" t="str">
        <x:v>Current standard</x:v>
      </x:c>
      <x:c r="F18" s="138" t="str">
        <x:v>Strongly recommend 1/veh for &gt;2 zones; optional otherwise</x:v>
      </x:c>
      <x:c r="G18" s="138" t="str">
        <x:v>Order separately</x:v>
      </x:c>
      <x:c r="H18" s="138" t="str">
        <x:v>Current M12-4 RS485, 6pin-DJ7061-6 IO, 5W directional warning; fixed audio</x:v>
      </x:c>
      <x:c r="I18" s="138" t="str">
        <x:v>Confirmed Oct 22, 2026</x:v>
      </x:c>
    </x:row>
    <x:row r="19" ht="58" customHeight="1">
      <x:c r="A19" s="136" t="str">
        <x:v>Alarm</x:v>
      </x:c>
      <x:c r="B19" s="136" t="str">
        <x:v>BA5-O external sound/light alarm · current</x:v>
      </x:c>
      <x:c r="C19" s="250" t="str">
        <x:v>5164003100004</x:v>
      </x:c>
      <x:c r="D19" s="136" t="str">
        <x:v>C06–C10</x:v>
      </x:c>
      <x:c r="E19" s="136" t="str">
        <x:v>Current standard</x:v>
      </x:c>
      <x:c r="F19" s="136" t="str">
        <x:v>1 standard per vehicle</x:v>
      </x:c>
      <x:c r="G19" s="136" t="str">
        <x:v>Order separately</x:v>
      </x:c>
      <x:c r="H19" s="136" t="str">
        <x:v>Current M12-4 RS485; external beacon and 5W speaker; standard direct harness if used alone</x:v>
      </x:c>
      <x:c r="I19" s="136" t="str">
        <x:v>Confirmed Oct 22, 2026</x:v>
      </x:c>
    </x:row>
    <x:row r="20" ht="58" customHeight="1">
      <x:c r="A20" s="138" t="str">
        <x:v>Alarm cabling</x:v>
      </x:c>
      <x:c r="B20" s="138" t="str">
        <x:v>BA5-I/O dual-alarm RS485 adapter · current</x:v>
      </x:c>
      <x:c r="C20" s="251" t="str">
        <x:v>1261050100490</x:v>
      </x:c>
      <x:c r="D20" s="138" t="str">
        <x:v>C06/C08/C09/C10 dual alarms</x:v>
      </x:c>
      <x:c r="E20" s="138" t="str">
        <x:v>Mandatory when both alarms used</x:v>
      </x:c>
      <x:c r="F20" s="138" t="str">
        <x:v>1 per vehicle when both fitted</x:v>
      </x:c>
      <x:c r="G20" s="138" t="str">
        <x:v>Separate order required</x:v>
      </x:c>
      <x:c r="H20" s="138" t="str">
        <x:v>Current BA5-I plus BA5-O: order 1 adapter/vehicle separately</x:v>
      </x:c>
      <x:c r="I20" s="138" t="str">
        <x:v>Confirmed Oct 22, 2026</x:v>
      </x:c>
    </x:row>
    <x:row r="21" ht="58" customHeight="1">
      <x:c r="A21" s="136" t="str">
        <x:v>Alarm cabling</x:v>
      </x:c>
      <x:c r="B21" s="136" t="str">
        <x:v>7 m alarm extension</x:v>
      </x:c>
      <x:c r="C21" s="250" t="str">
        <x:v>1260040100475</x:v>
      </x:c>
      <x:c r="D21" s="136" t="str">
        <x:v>M1N/M3N / BA5</x:v>
      </x:c>
      <x:c r="E21" s="136" t="str">
        <x:v>Optional by mounting distance</x:v>
      </x:c>
      <x:c r="F21" s="136" t="str">
        <x:v>By distance / installation</x:v>
      </x:c>
      <x:c r="G21" s="136" t="str">
        <x:v>Order if required</x:v>
      </x:c>
      <x:c r="H21" s="136" t="str">
        <x:v>Confirmed compatible with current M12-4 alarm setup</x:v>
      </x:c>
      <x:c r="I21" s="136" t="str">
        <x:v>Confirmed Oct 22, 2026</x:v>
      </x:c>
    </x:row>
    <x:row r="22" ht="58" customHeight="1">
      <x:c r="A22" s="138" t="str">
        <x:v>Shared cable</x:v>
      </x:c>
      <x:c r="B22" s="138" t="str">
        <x:v>3 m M12-4 waterproof extension</x:v>
      </x:c>
      <x:c r="C22" s="251" t="str">
        <x:v>1260010100265</x:v>
      </x:c>
      <x:c r="D22" s="138" t="str">
        <x:v>DW7P / current BA5-I/O</x:v>
      </x:c>
      <x:c r="E22" s="138" t="str">
        <x:v>Shared optional accessory</x:v>
      </x:c>
      <x:c r="F22" s="138" t="str">
        <x:v>By installed device/length</x:v>
      </x:c>
      <x:c r="G22" s="138" t="str">
        <x:v>Order separately as needed</x:v>
      </x:c>
      <x:c r="H22" s="138" t="str">
        <x:v>Confirmed shared application; M12-4 male/female; not C29NP cable 0206</x:v>
      </x:c>
      <x:c r="I22" s="138" t="str">
        <x:v>Confirmed Oct 22, 2026</x:v>
      </x:c>
    </x:row>
    <x:row r="23" ht="58" customHeight="1">
      <x:c r="A23" s="136" t="str">
        <x:v>Display</x:v>
      </x:c>
      <x:c r="B23" s="136" t="str">
        <x:v>DP7S with Streamax logo</x:v>
      </x:c>
      <x:c r="C23" s="250" t="str">
        <x:v>5146026100001</x:v>
      </x:c>
      <x:c r="D23" s="136" t="str">
        <x:v>C06–C10</x:v>
      </x:c>
      <x:c r="E23" s="136" t="str">
        <x:v>Standard display option</x:v>
      </x:c>
      <x:c r="F23" s="136" t="str">
        <x:v>1 per vehicle if chosen</x:v>
      </x:c>
      <x:c r="G23" s="136" t="str">
        <x:v>Order separately</x:v>
      </x:c>
      <x:c r="H23" s="136" t="str">
        <x:v>Prefer when waterproofing is not required; with-logo unit MDVR-powered; cable separately ordered</x:v>
      </x:c>
      <x:c r="I23" s="136" t="str">
        <x:v>Confirmed Oct 22, 2026</x:v>
      </x:c>
    </x:row>
    <x:row r="24" ht="58" customHeight="1">
      <x:c r="A24" s="138" t="str">
        <x:v>Display</x:v>
      </x:c>
      <x:c r="B24" s="138" t="str">
        <x:v>DP7S without logo</x:v>
      </x:c>
      <x:c r="C24" s="251" t="str">
        <x:v>5190012100084</x:v>
      </x:c>
      <x:c r="D24" s="138" t="str">
        <x:v>C06–C10</x:v>
      </x:c>
      <x:c r="E24" s="138" t="str">
        <x:v>Standard display option</x:v>
      </x:c>
      <x:c r="F24" s="138" t="str">
        <x:v>1 per vehicle if chosen</x:v>
      </x:c>
      <x:c r="G24" s="138" t="str">
        <x:v>Order separately</x:v>
      </x:c>
      <x:c r="H24" s="138" t="str">
        <x:v>Prefer when waterproofing is not required; no-logo version MDVR/vehicle powered; cable separate</x:v>
      </x:c>
      <x:c r="I24" s="138" t="str">
        <x:v>Confirmed Oct 22, 2026</x:v>
      </x:c>
    </x:row>
    <x:row r="25" ht="58" customHeight="1">
      <x:c r="A25" s="136" t="str">
        <x:v>Display</x:v>
      </x:c>
      <x:c r="B25" s="136" t="str">
        <x:v>DW7P waterproof display</x:v>
      </x:c>
      <x:c r="C25" s="250" t="str">
        <x:v>5146054100001</x:v>
      </x:c>
      <x:c r="D25" s="136" t="str">
        <x:v>C06–C10 / waterproof needs</x:v>
      </x:c>
      <x:c r="E25" s="136" t="str">
        <x:v>Waterproof display option</x:v>
      </x:c>
      <x:c r="F25" s="136" t="str">
        <x:v>1 per vehicle if chosen</x:v>
      </x:c>
      <x:c r="G25" s="136" t="str">
        <x:v>Order separately</x:v>
      </x:c>
      <x:c r="H25" s="136" t="str">
        <x:v>Prefer when waterproofing required; MDVR/vehicle power; base bracket/cable included; extension separate</x:v>
      </x:c>
      <x:c r="I25" s="136" t="str">
        <x:v>Confirmed Oct 22, 2026</x:v>
      </x:c>
    </x:row>
    <x:row r="26" ht="58" customHeight="1">
      <x:c r="A26" s="138" t="str">
        <x:v>Display cable</x:v>
      </x:c>
      <x:c r="B26" s="138" t="str">
        <x:v>DP7S 3 m connection/extension cable</x:v>
      </x:c>
      <x:c r="C26" s="251" t="str">
        <x:v>1210030000163</x:v>
      </x:c>
      <x:c r="D26" s="138" t="str">
        <x:v>Both DP7S logo variants</x:v>
      </x:c>
      <x:c r="E26" s="138" t="str">
        <x:v>Required when DP7S chosen</x:v>
      </x:c>
      <x:c r="F26" s="138" t="str">
        <x:v>1 per display (confirm routing)</x:v>
      </x:c>
      <x:c r="G26" s="138" t="str">
        <x:v>Order separately</x:v>
      </x:c>
      <x:c r="H26" s="138" t="str">
        <x:v>NOT in DP7S package; same for either logo variant</x:v>
      </x:c>
      <x:c r="I26" s="138" t="str">
        <x:v>Confirmed Oct 22, 2026</x:v>
      </x:c>
    </x:row>
    <x:row r="27" ht="58" customHeight="1">
      <x:c r="A27" s="136" t="str">
        <x:v>Accessory</x:v>
      </x:c>
      <x:c r="B27" s="136" t="str">
        <x:v>DP7S sunshade</x:v>
      </x:c>
      <x:c r="C27" s="250" t="str">
        <x:v>1130040100051</x:v>
      </x:c>
      <x:c r="D27" s="136" t="str">
        <x:v>DP7S</x:v>
      </x:c>
      <x:c r="E27" s="136" t="str">
        <x:v>Optional</x:v>
      </x:c>
      <x:c r="F27" s="136" t="str">
        <x:v>As needed</x:v>
      </x:c>
      <x:c r="G27" s="136" t="str">
        <x:v>Order separately</x:v>
      </x:c>
      <x:c r="H27" s="136" t="str">
        <x:v>Not part of standard mandatory kit</x:v>
      </x:c>
      <x:c r="I27" s="136" t="str">
        <x:v>Confirmed Oct 22, 2026</x:v>
      </x:c>
    </x:row>
    <x:row r="28" ht="58" customHeight="1">
      <x:c r="A28" s="138" t="str">
        <x:v>Network</x:v>
      </x:c>
      <x:c r="B28" s="138" t="str">
        <x:v>M1N switch for 4/5-camera</x:v>
      </x:c>
      <x:c r="C28" s="251" t="str">
        <x:v>5173002100003</x:v>
      </x:c>
      <x:c r="D28" s="138" t="str">
        <x:v>C08/C09</x:v>
      </x:c>
      <x:c r="E28" s="138" t="str">
        <x:v>Mandatory</x:v>
      </x:c>
      <x:c r="F28" s="138" t="str">
        <x:v>1 per vehicle</x:v>
      </x:c>
      <x:c r="G28" s="138" t="str">
        <x:v>Order separately</x:v>
      </x:c>
      <x:c r="H28" s="138" t="str">
        <x:v>Use existing 4/5-camera drawings; no separate power accessory</x:v>
      </x:c>
      <x:c r="I28" s="138" t="str">
        <x:v>Confirmed Oct 22, 2026</x:v>
      </x:c>
    </x:row>
    <x:row r="29" ht="58" customHeight="1">
      <x:c r="A29" s="136" t="str">
        <x:v>Network</x:v>
      </x:c>
      <x:c r="B29" s="136" t="str">
        <x:v>M1N switch drive cable</x:v>
      </x:c>
      <x:c r="C29" s="250" t="str">
        <x:v>1261020000036</x:v>
      </x:c>
      <x:c r="D29" s="136" t="str">
        <x:v>C08/C09</x:v>
      </x:c>
      <x:c r="E29" s="136" t="str">
        <x:v>Mandatory</x:v>
      </x:c>
      <x:c r="F29" s="136" t="str">
        <x:v>1 per vehicle</x:v>
      </x:c>
      <x:c r="G29" s="136" t="str">
        <x:v>Order separately</x:v>
      </x:c>
      <x:c r="H29" s="136" t="str">
        <x:v>Required companion cable; do not omit</x:v>
      </x:c>
      <x:c r="I29" s="136" t="str">
        <x:v>Confirmed Oct 22, 2026</x:v>
      </x:c>
    </x:row>
    <x:row r="30" ht="58" customHeight="1">
      <x:c r="A30" s="138" t="str">
        <x:v>Camera extension</x:v>
      </x:c>
      <x:c r="B30" s="138" t="str">
        <x:v>C46 IPC 3 m RS765-6 extension</x:v>
      </x:c>
      <x:c r="C30" s="251" t="str">
        <x:v>1260010000351</x:v>
      </x:c>
      <x:c r="D30" s="138" t="str">
        <x:v>C06–C10 IPC 0023</x:v>
      </x:c>
      <x:c r="E30" s="138" t="str">
        <x:v>Standard orderable length</x:v>
      </x:c>
      <x:c r="F30" s="138" t="str">
        <x:v>By camera route and distance</x:v>
      </x:c>
      <x:c r="G30" s="138" t="str">
        <x:v>Order separately as needed</x:v>
      </x:c>
      <x:c r="H30" s="138" t="str">
        <x:v>RS765-6 male/female; choose by installation distance</x:v>
      </x:c>
      <x:c r="I30" s="138" t="str">
        <x:v>Confirmed Oct 22, 2026</x:v>
      </x:c>
    </x:row>
    <x:row r="31" ht="58" customHeight="1">
      <x:c r="A31" s="136" t="str">
        <x:v>Camera extension</x:v>
      </x:c>
      <x:c r="B31" s="136" t="str">
        <x:v>C46 IPC 5 m RS765-6 extension</x:v>
      </x:c>
      <x:c r="C31" s="250" t="str">
        <x:v>1260010000352</x:v>
      </x:c>
      <x:c r="D31" s="136" t="str">
        <x:v>C06–C10 IPC 0023</x:v>
      </x:c>
      <x:c r="E31" s="136" t="str">
        <x:v>Standard orderable length</x:v>
      </x:c>
      <x:c r="F31" s="136" t="str">
        <x:v>By camera route and distance</x:v>
      </x:c>
      <x:c r="G31" s="136" t="str">
        <x:v>Order separately as needed</x:v>
      </x:c>
      <x:c r="H31" s="136" t="str">
        <x:v>RS765-6 male/female; choose by installation distance</x:v>
      </x:c>
      <x:c r="I31" s="136" t="str">
        <x:v>Confirmed Oct 22, 2026</x:v>
      </x:c>
    </x:row>
    <x:row r="32" ht="58" customHeight="1">
      <x:c r="A32" s="138" t="str">
        <x:v>Camera extension</x:v>
      </x:c>
      <x:c r="B32" s="138" t="str">
        <x:v>C46 IPC 7 m RS765-6 extension</x:v>
      </x:c>
      <x:c r="C32" s="251" t="str">
        <x:v>1260010000353</x:v>
      </x:c>
      <x:c r="D32" s="138" t="str">
        <x:v>C06–C10 IPC 0023</x:v>
      </x:c>
      <x:c r="E32" s="138" t="str">
        <x:v>Standard orderable length</x:v>
      </x:c>
      <x:c r="F32" s="138" t="str">
        <x:v>By camera route and distance</x:v>
      </x:c>
      <x:c r="G32" s="138" t="str">
        <x:v>Order separately as needed</x:v>
      </x:c>
      <x:c r="H32" s="138" t="str">
        <x:v>Current 7 m EN standard with R118 flame-retardant marking; order by routing length</x:v>
      </x:c>
      <x:c r="I32" s="138" t="str">
        <x:v>Confirmed Oct 22, 2026</x:v>
      </x:c>
    </x:row>
    <x:row r="33" ht="58" customHeight="1">
      <x:c r="A33" s="136" t="str">
        <x:v>Camera extension</x:v>
      </x:c>
      <x:c r="B33" s="136" t="str">
        <x:v>C46 IPC 11 m RS765-6 extension</x:v>
      </x:c>
      <x:c r="C33" s="250" t="str">
        <x:v>1260010000355</x:v>
      </x:c>
      <x:c r="D33" s="136" t="str">
        <x:v>C06–C10 IPC 0023</x:v>
      </x:c>
      <x:c r="E33" s="136" t="str">
        <x:v>Standard orderable length</x:v>
      </x:c>
      <x:c r="F33" s="136" t="str">
        <x:v>By camera route and distance</x:v>
      </x:c>
      <x:c r="G33" s="136" t="str">
        <x:v>Order separately as needed</x:v>
      </x:c>
      <x:c r="H33" s="136" t="str">
        <x:v>RS765-6 male/female; choose by installation distance</x:v>
      </x:c>
      <x:c r="I33" s="136" t="str">
        <x:v>Confirmed Oct 22, 2026</x:v>
      </x:c>
    </x:row>
    <x:row r="34" ht="58" customHeight="1">
      <x:c r="A34" s="138" t="str">
        <x:v>Camera extension</x:v>
      </x:c>
      <x:c r="B34" s="138" t="str">
        <x:v>C46 IPC 15 m RS765-6 extension</x:v>
      </x:c>
      <x:c r="C34" s="251" t="str">
        <x:v>1260010000357</x:v>
      </x:c>
      <x:c r="D34" s="138" t="str">
        <x:v>C06–C10 IPC 0023</x:v>
      </x:c>
      <x:c r="E34" s="138" t="str">
        <x:v>Standard orderable length</x:v>
      </x:c>
      <x:c r="F34" s="138" t="str">
        <x:v>By camera route and distance</x:v>
      </x:c>
      <x:c r="G34" s="138" t="str">
        <x:v>Order separately as needed</x:v>
      </x:c>
      <x:c r="H34" s="138" t="str">
        <x:v>RS765-6 male/female; choose by installation distance</x:v>
      </x:c>
      <x:c r="I34" s="138" t="str">
        <x:v>Confirmed Oct 22, 2026</x:v>
      </x:c>
    </x:row>
    <x:row r="35" ht="58" customHeight="1">
      <x:c r="A35" s="136" t="str">
        <x:v>Kit included</x:v>
      </x:c>
      <x:c r="B35" s="136" t="str">
        <x:v>M1N/M3N Power + CAN1 lead</x:v>
      </x:c>
      <x:c r="C35" s="250" t="str">
        <x:v>1261070100016</x:v>
      </x:c>
      <x:c r="D35" s="136" t="str">
        <x:v>M1N/H0404 host kits</x:v>
      </x:c>
      <x:c r="E35" s="136" t="str">
        <x:v>Included in host kit</x:v>
      </x:c>
      <x:c r="F35" s="136" t="str">
        <x:v>1 per kit</x:v>
      </x:c>
      <x:c r="G35" s="136" t="str">
        <x:v>No duplicate purchase</x:v>
      </x:c>
      <x:c r="H35" s="136" t="str">
        <x:v>Power+CAN1 harness</x:v>
      </x:c>
      <x:c r="I35" s="136" t="str">
        <x:v>Confirmed Oct 22, 2026</x:v>
      </x:c>
    </x:row>
    <x:row r="36" ht="58" customHeight="1">
      <x:c r="A36" s="138" t="str">
        <x:v>Kit included</x:v>
      </x:c>
      <x:c r="B36" s="138" t="str">
        <x:v>4G antenna</x:v>
      </x:c>
      <x:c r="C36" s="251" t="str">
        <x:v>1210050100055</x:v>
      </x:c>
      <x:c r="D36" s="138" t="str">
        <x:v>M1N/H0404 host kits</x:v>
      </x:c>
      <x:c r="E36" s="138" t="str">
        <x:v>Included in host kit</x:v>
      </x:c>
      <x:c r="F36" s="138" t="str">
        <x:v>2 in NA; 1 other regions</x:v>
      </x:c>
      <x:c r="G36" s="138" t="str">
        <x:v>No duplicate purchase</x:v>
      </x:c>
      <x:c r="H36" s="138" t="str">
        <x:v>Kit quantity differs by region</x:v>
      </x:c>
      <x:c r="I36" s="138" t="str">
        <x:v>Confirmed Oct 22, 2026</x:v>
      </x:c>
    </x:row>
    <x:row r="37" ht="58" customHeight="1">
      <x:c r="A37" s="136" t="str">
        <x:v>Kit included</x:v>
      </x:c>
      <x:c r="B37" s="136" t="str">
        <x:v>Wi-Fi antenna</x:v>
      </x:c>
      <x:c r="C37" s="250" t="str">
        <x:v>1210050A00015</x:v>
      </x:c>
      <x:c r="D37" s="136" t="str">
        <x:v>M1N/H0404 host kits</x:v>
      </x:c>
      <x:c r="E37" s="136" t="str">
        <x:v>Included in host kit</x:v>
      </x:c>
      <x:c r="F37" s="136" t="str">
        <x:v>1 per kit</x:v>
      </x:c>
      <x:c r="G37" s="136" t="str">
        <x:v>No duplicate purchase</x:v>
      </x:c>
      <x:c r="H37" s="136" t="str">
        <x:v>2.4/5.8 GHz per applicable device version</x:v>
      </x:c>
      <x:c r="I37" s="136" t="str">
        <x:v>Confirmed Oct 22, 2026</x:v>
      </x:c>
    </x:row>
    <x:row r="38" ht="58" customHeight="1">
      <x:c r="A38" s="138" t="str">
        <x:v>Kit included</x:v>
      </x:c>
      <x:c r="B38" s="138" t="str">
        <x:v>M1N GNSS module</x:v>
      </x:c>
      <x:c r="C38" s="251" t="str">
        <x:v>3130000100065</x:v>
      </x:c>
      <x:c r="D38" s="138" t="str">
        <x:v>M1N 2.0 kits</x:v>
      </x:c>
      <x:c r="E38" s="138" t="str">
        <x:v>Included in host kit</x:v>
      </x:c>
      <x:c r="F38" s="138" t="str">
        <x:v>1 per kit</x:v>
      </x:c>
      <x:c r="G38" s="138" t="str">
        <x:v>No duplicate purchase</x:v>
      </x:c>
      <x:c r="H38" s="138" t="str">
        <x:v>M1N kit part; distinct from M3N</x:v>
      </x:c>
      <x:c r="I38" s="138" t="str">
        <x:v>Confirmed Oct 22, 2026</x:v>
      </x:c>
    </x:row>
    <x:row r="39" ht="58" customHeight="1">
      <x:c r="A39" s="136" t="str">
        <x:v>Kit included</x:v>
      </x:c>
      <x:c r="B39" s="136" t="str">
        <x:v>M3N H0404 GNSS module</x:v>
      </x:c>
      <x:c r="C39" s="250" t="str">
        <x:v>1630002100012</x:v>
      </x:c>
      <x:c r="D39" s="136" t="str">
        <x:v>M3N H0404 kits</x:v>
      </x:c>
      <x:c r="E39" s="136" t="str">
        <x:v>Included in host kit</x:v>
      </x:c>
      <x:c r="F39" s="136" t="str">
        <x:v>1 per kit</x:v>
      </x:c>
      <x:c r="G39" s="136" t="str">
        <x:v>No duplicate purchase</x:v>
      </x:c>
      <x:c r="H39" s="136" t="str">
        <x:v>M3N kit part; distinct from M1N</x:v>
      </x:c>
      <x:c r="I39" s="136" t="str">
        <x:v>Confirmed Oct 22, 2026</x:v>
      </x:c>
    </x:row>
    <x:row r="40" ht="58" customHeight="1">
      <x:c r="A40" s="138" t="str">
        <x:v>Kit included</x:v>
      </x:c>
      <x:c r="B40" s="138" t="str">
        <x:v>SSD enclosure lock key</x:v>
      </x:c>
      <x:c r="C40" s="251" t="str">
        <x:v>1170040000004</x:v>
      </x:c>
      <x:c r="D40" s="138" t="str">
        <x:v>M1N/H0404 host kits</x:v>
      </x:c>
      <x:c r="E40" s="138" t="str">
        <x:v>Included in host kit</x:v>
      </x:c>
      <x:c r="F40" s="138" t="str">
        <x:v>1 per kit</x:v>
      </x:c>
      <x:c r="G40" s="138" t="str">
        <x:v>No duplicate purchase</x:v>
      </x:c>
      <x:c r="H40" s="138" t="str">
        <x:v>Does not imply storage drive included</x:v>
      </x:c>
      <x:c r="I40" s="138" t="str">
        <x:v>Confirmed Oct 22, 2026</x:v>
      </x:c>
    </x:row>
    <x:row r="41" ht="58" customHeight="1">
      <x:c r="A41" s="136" t="str">
        <x:v>Kit included</x:v>
      </x:c>
      <x:c r="B41" s="136" t="str">
        <x:v>7.5 A fuse</x:v>
      </x:c>
      <x:c r="C41" s="250" t="str">
        <x:v>1060970000006</x:v>
      </x:c>
      <x:c r="D41" s="136" t="str">
        <x:v>M1N/H0404 host kits</x:v>
      </x:c>
      <x:c r="E41" s="136" t="str">
        <x:v>Included in host kit</x:v>
      </x:c>
      <x:c r="F41" s="136" t="str">
        <x:v>1 per kit</x:v>
      </x:c>
      <x:c r="G41" s="136" t="str">
        <x:v>No duplicate purchase</x:v>
      </x:c>
      <x:c r="H41" s="136" t="str">
        <x:v>Included with host kit</x:v>
      </x:c>
      <x:c r="I41" s="136" t="str">
        <x:v>Confirmed Oct 22, 2026</x:v>
      </x:c>
    </x:row>
    <x:row r="42" ht="58" customHeight="1">
      <x:c r="A42" s="138" t="str">
        <x:v>Kit included</x:v>
      </x:c>
      <x:c r="B42" s="138" t="str">
        <x:v>15 A fuse</x:v>
      </x:c>
      <x:c r="C42" s="251" t="str">
        <x:v>1060970000005</x:v>
      </x:c>
      <x:c r="D42" s="138" t="str">
        <x:v>M1N/H0404 host kits</x:v>
      </x:c>
      <x:c r="E42" s="138" t="str">
        <x:v>Included in host kit</x:v>
      </x:c>
      <x:c r="F42" s="138" t="str">
        <x:v>1 per kit</x:v>
      </x:c>
      <x:c r="G42" s="138" t="str">
        <x:v>No duplicate purchase</x:v>
      </x:c>
      <x:c r="H42" s="138" t="str">
        <x:v>Included with host kit</x:v>
      </x:c>
      <x:c r="I42" s="138" t="str">
        <x:v>Confirmed Oct 22, 2026</x:v>
      </x:c>
    </x:row>
    <x:row r="43" ht="58" customHeight="1">
      <x:c r="A43" s="136" t="str">
        <x:v>Kit included</x:v>
      </x:c>
      <x:c r="B43" s="136" t="str">
        <x:v>M3N custom 20-pin harness</x:v>
      </x:c>
      <x:c r="C43" s="250" t="str">
        <x:v>1261050100539</x:v>
      </x:c>
      <x:c r="D43" s="136" t="str">
        <x:v>M3N H0404/H0204 kits</x:v>
      </x:c>
      <x:c r="E43" s="136" t="str">
        <x:v>Included in host kit</x:v>
      </x:c>
      <x:c r="F43" s="136" t="str">
        <x:v>1 per kit</x:v>
      </x:c>
      <x:c r="G43" s="136" t="str">
        <x:v>No duplicate purchase</x:v>
      </x:c>
      <x:c r="H43" s="136" t="str">
        <x:v>Included in both H0204 and H0404; not old dual R-WATCH cable</x:v>
      </x:c>
      <x:c r="I43" s="136" t="str">
        <x:v>Confirmed Oct 22, 2026</x:v>
      </x:c>
    </x:row>
    <x:row r="44" ht="58" customHeight="1">
      <x:c r="A44" s="138" t="str">
        <x:v>Kit included</x:v>
      </x:c>
      <x:c r="B44" s="138" t="str">
        <x:v>C46 IPC 0017 adapter</x:v>
      </x:c>
      <x:c r="C44" s="251" t="str">
        <x:v>1261010100072</x:v>
      </x:c>
      <x:c r="D44" s="138" t="str">
        <x:v>C46 5152178100017 kit</x:v>
      </x:c>
      <x:c r="E44" s="138" t="str">
        <x:v>Included in camera kit</x:v>
      </x:c>
      <x:c r="F44" s="138" t="str">
        <x:v>1 per 0017 camera kit</x:v>
      </x:c>
      <x:c r="G44" s="138" t="str">
        <x:v>No duplicate purchase</x:v>
      </x:c>
      <x:c r="H44" s="138" t="str">
        <x:v>M12-12 male → RS765-6 female + 5559-6P; 300 mm</x:v>
      </x:c>
      <x:c r="I44" s="138" t="str">
        <x:v>Confirmed Oct 22, 2026</x:v>
      </x:c>
    </x:row>
    <x:row r="45" ht="58" customHeight="1">
      <x:c r="A45" s="136" t="str">
        <x:v>Kit included</x:v>
      </x:c>
      <x:c r="B45" s="136" t="str">
        <x:v>C46 IPC 0017 rain bracket</x:v>
      </x:c>
      <x:c r="C45" s="250" t="str">
        <x:v>1120041100679</x:v>
      </x:c>
      <x:c r="D45" s="136" t="str">
        <x:v>C46 0017 kit</x:v>
      </x:c>
      <x:c r="E45" s="136" t="str">
        <x:v>Included in camera kit</x:v>
      </x:c>
      <x:c r="F45" s="136" t="str">
        <x:v>1 per kit</x:v>
      </x:c>
      <x:c r="G45" s="136" t="str">
        <x:v>No duplicate purchase</x:v>
      </x:c>
      <x:c r="H45" s="136" t="str">
        <x:v>SUS304 stainless steel</x:v>
      </x:c>
      <x:c r="I45" s="136" t="str">
        <x:v>Confirmed Oct 22, 2026</x:v>
      </x:c>
    </x:row>
    <x:row r="46" ht="58" customHeight="1">
      <x:c r="A46" s="138" t="str">
        <x:v>Kit included</x:v>
      </x:c>
      <x:c r="B46" s="138" t="str">
        <x:v>C46 IPC 0017 tool</x:v>
      </x:c>
      <x:c r="C46" s="251" t="str">
        <x:v>1160060100013</x:v>
      </x:c>
      <x:c r="D46" s="138" t="str">
        <x:v>C46 0017 kit</x:v>
      </x:c>
      <x:c r="E46" s="138" t="str">
        <x:v>Included in camera kit</x:v>
      </x:c>
      <x:c r="F46" s="138" t="str">
        <x:v>1 per kit</x:v>
      </x:c>
      <x:c r="G46" s="138" t="str">
        <x:v>No duplicate purchase</x:v>
      </x:c>
      <x:c r="H46" s="138" t="str">
        <x:v>Included in 0017 kit</x:v>
      </x:c>
      <x:c r="I46" s="138" t="str">
        <x:v>Confirmed Oct 22, 2026</x:v>
      </x:c>
    </x:row>
    <x:row r="47" ht="58" customHeight="1">
      <x:c r="A47" s="136" t="str">
        <x:v>Service tool</x:v>
      </x:c>
      <x:c r="B47" s="136" t="str">
        <x:v>Easycheck Wi-Fi dongle</x:v>
      </x:c>
      <x:c r="C47" s="250" t="str">
        <x:v>5190001000009</x:v>
      </x:c>
      <x:c r="D47" s="136" t="str">
        <x:v>C06–C10 / commissioning</x:v>
      </x:c>
      <x:c r="E47" s="136" t="str">
        <x:v>Standard service tool</x:v>
      </x:c>
      <x:c r="F47" s="136" t="str">
        <x:v>1 per solution, not per vehicle</x:v>
      </x:c>
      <x:c r="G47" s="136" t="str">
        <x:v>Allocate by solution/project</x:v>
      </x:c>
      <x:c r="H47" s="136" t="str">
        <x:v>Same Easycheck + Veyes workflow across M1N/M3N; number of cameras differs; no extra dedicated calibration device</x:v>
      </x:c>
      <x:c r="I47" s="136" t="str">
        <x:v>Confirmed Oct 22, 2026</x:v>
      </x:c>
    </x:row>
    <x:row r="48" ht="58" customHeight="1">
      <x:c r="A48" s="138" t="str">
        <x:v>Service tool</x:v>
      </x:c>
      <x:c r="B48" s="138" t="str">
        <x:v>C46 camera configuration lead</x:v>
      </x:c>
      <x:c r="C48" s="251" t="str">
        <x:v>1261010100077</x:v>
      </x:c>
      <x:c r="D48" s="138" t="str">
        <x:v>C46 service / commissioning</x:v>
      </x:c>
      <x:c r="E48" s="138" t="str">
        <x:v>Service accessory</x:v>
      </x:c>
      <x:c r="F48" s="138" t="str">
        <x:v>As needed</x:v>
      </x:c>
      <x:c r="G48" s="138" t="str">
        <x:v>Optional service order</x:v>
      </x:c>
      <x:c r="H48" s="138" t="str">
        <x:v>Camera config lead; not the 0017 install adapter</x:v>
      </x:c>
      <x:c r="I48" s="138" t="str">
        <x:v>Confirmed Oct 22, 2026</x:v>
      </x:c>
    </x:row>
    <x:row r="49" ht="58" customHeight="1">
      <x:c r="A49" s="136" t="str">
        <x:v>Optional mounting</x:v>
      </x:c>
      <x:c r="B49" s="136" t="str">
        <x:v>C46 magnetic mount</x:v>
      </x:c>
      <x:c r="C49" s="250" t="str">
        <x:v>3380000100102</x:v>
      </x:c>
      <x:c r="D49" s="136" t="str">
        <x:v>C46 / mounting option</x:v>
      </x:c>
      <x:c r="E49" s="136" t="str">
        <x:v>Optional</x:v>
      </x:c>
      <x:c r="F49" s="136" t="str">
        <x:v>Per camera mounting need</x:v>
      </x:c>
      <x:c r="G49" s="136" t="str">
        <x:v>Order separately as needed</x:v>
      </x:c>
      <x:c r="H49" s="136" t="str">
        <x:v>0023 includes standard mount/screws; use for special installations</x:v>
      </x:c>
      <x:c r="I49" s="136" t="str">
        <x:v>Confirmed Oct 22, 2026</x:v>
      </x:c>
    </x:row>
    <x:row r="50" ht="58" customHeight="1">
      <x:c r="A50" s="138" t="str">
        <x:v>Optional mounting</x:v>
      </x:c>
      <x:c r="B50" s="138" t="str">
        <x:v>C46 extension bracket</x:v>
      </x:c>
      <x:c r="C50" s="251" t="str">
        <x:v>3380000100124</x:v>
      </x:c>
      <x:c r="D50" s="138" t="str">
        <x:v>C46 / mounting option</x:v>
      </x:c>
      <x:c r="E50" s="138" t="str">
        <x:v>Optional</x:v>
      </x:c>
      <x:c r="F50" s="138" t="str">
        <x:v>Per installation</x:v>
      </x:c>
      <x:c r="G50" s="138" t="str">
        <x:v>Order separately as needed</x:v>
      </x:c>
      <x:c r="H50" s="138" t="str">
        <x:v>For special mounting</x:v>
      </x:c>
      <x:c r="I50" s="138" t="str">
        <x:v>Confirmed Oct 22, 2026</x:v>
      </x:c>
    </x:row>
    <x:row r="51" ht="58" customHeight="1">
      <x:c r="A51" s="136" t="str">
        <x:v>Expansion cable</x:v>
      </x:c>
      <x:c r="B51" s="136" t="str">
        <x:v>MDVR 8-output IO extension</x:v>
      </x:c>
      <x:c r="C51" s="250" t="str">
        <x:v>1210010100070</x:v>
      </x:c>
      <x:c r="D51" s="136" t="str">
        <x:v>Projects requiring extra IO</x:v>
      </x:c>
      <x:c r="E51" s="136" t="str">
        <x:v>Optional</x:v>
      </x:c>
      <x:c r="F51" s="136" t="str">
        <x:v>Per project</x:v>
      </x:c>
      <x:c r="G51" s="136" t="str">
        <x:v>Order separately as needed</x:v>
      </x:c>
      <x:c r="H51" s="136" t="str">
        <x:v>Not mandatory on every C06–C10 route</x:v>
      </x:c>
      <x:c r="I51" s="136" t="str">
        <x:v>Confirmed Oct 22, 2026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40" hidden="0" customWidth="1"/>
    <x:col min="4" max="4" width="34" hidden="0" customWidth="1"/>
    <x:col min="5" max="5" width="42" hidden="0" customWidth="1"/>
    <x:col min="6" max="6" width="20" hidden="0" customWidth="1"/>
    <x:col min="7" max="7" width="50" hidden="0" customWidth="1"/>
    <x:col min="8" max="8" width="47" hidden="0" customWidth="1"/>
    <x:col min="9" max="9" width="77" hidden="0" customWidth="1"/>
  </x:cols>
  <x:sheetData>
    <x:row r="1" ht="38" customHeight="1">
      <x:c r="A1" s="144" t="str">
        <x:v>INTERNAL ID CROSSWALK | CANONICAL C01–C11 ROUTES</x:v>
      </x:c>
      <x:c r="B1" s="144"/>
      <x:c r="C1" s="144"/>
      <x:c r="D1" s="144"/>
      <x:c r="E1" s="144"/>
      <x:c r="F1" s="144"/>
      <x:c r="G1" s="144"/>
      <x:c r="H1" s="144"/>
      <x:c r="I1" s="144"/>
    </x:row>
    <x:row r="2" ht="43" customHeight="1">
      <x:c r="A2" s="220" t="str">
        <x:v>Internal audit only. Source ST IDs are NOT orderable customer route IDs. Sales route definitions and purchasing SKUs live in file 01.</x:v>
      </x:c>
      <x:c r="B2" s="220"/>
      <x:c r="C2" s="220"/>
      <x:c r="D2" s="220"/>
      <x:c r="E2" s="220"/>
      <x:c r="F2" s="220"/>
      <x:c r="G2" s="220"/>
      <x:c r="H2" s="220"/>
      <x:c r="I2" s="220"/>
    </x:row>
    <x:row r="3" ht="54" customHeight="1">
      <x:c r="A3" s="222" t="str">
        <x:v>Historical technical-source C07 is an M3N summary. It is NOT canonical C07 (M1N 2-camera) and cannot be treated as verified evidence.</x:v>
      </x:c>
      <x:c r="B3" s="222"/>
      <x:c r="C3" s="222"/>
      <x:c r="D3" s="222"/>
      <x:c r="E3" s="222"/>
      <x:c r="F3" s="222"/>
      <x:c r="G3" s="222"/>
      <x:c r="H3" s="222"/>
      <x:c r="I3" s="222"/>
    </x:row>
    <x:row r="4" ht="40" customHeight="1">
      <x:c r="A4" s="141" t="str">
        <x:v>Canonical C ID</x:v>
      </x:c>
      <x:c r="B4" s="141" t="str">
        <x:v>Earlier ID (audit only)</x:v>
      </x:c>
      <x:c r="C4" s="141" t="str">
        <x:v>User-approved architecture</x:v>
      </x:c>
      <x:c r="D4" s="141" t="str">
        <x:v>Host / region SKU</x:v>
      </x:c>
      <x:c r="E4" s="141" t="str">
        <x:v>Camera/SKU</x:v>
      </x:c>
      <x:c r="F4" s="141" t="str">
        <x:v>Camera qty</x:v>
      </x:c>
      <x:c r="G4" s="141" t="str">
        <x:v>Alarm selection</x:v>
      </x:c>
      <x:c r="H4" s="141" t="str">
        <x:v>Switch / connection</x:v>
      </x:c>
      <x:c r="I4" s="141" t="str">
        <x:v>Audit finding</x:v>
      </x:c>
    </x:row>
    <x:row r="5" ht="66" customHeight="1">
      <x:c r="A5" s="136" t="str">
        <x:v>C01</x:v>
      </x:c>
      <x:c r="B5" s="136" t="str">
        <x:v>ST1-01</x:v>
      </x:c>
      <x:c r="C5" s="136" t="str">
        <x:v>C46 AHD + local display/alarm</x:v>
      </x:c>
      <x:c r="D5" s="155" t="str">
        <x:v>No MDVR host kit</x:v>
      </x:c>
      <x:c r="E5" s="136" t="str">
        <x:v>C46 AHD · 5152178100020</x:v>
      </x:c>
      <x:c r="F5" s="136" t="str">
        <x:v>By monitored zones</x:v>
      </x:c>
      <x:c r="G5" s="136" t="str">
        <x:v>B2/BA5 per design</x:v>
      </x:c>
      <x:c r="H5" s="136" t="str">
        <x:v>Use AHD-specific wiring; not interchangeable with IPC</x:v>
      </x:c>
      <x:c r="I5" s="136" t="str">
        <x:v>CHECKED against uploaded reference; C ID is now the ONLY active route ID</x:v>
      </x:c>
    </x:row>
    <x:row r="6" ht="66" customHeight="1">
      <x:c r="A6" s="138" t="str">
        <x:v>C02</x:v>
      </x:c>
      <x:c r="B6" s="138" t="str">
        <x:v>ST1-03A</x:v>
      </x:c>
      <x:c r="C6" s="138" t="str">
        <x:v>C46 IPC + MDVR + FT Cloud</x:v>
      </x:c>
      <x:c r="D6" s="156" t="str">
        <x:v>Choose regional MDVR kit</x:v>
      </x:c>
      <x:c r="E6" s="138" t="str">
        <x:v>C46 IPC · 5152178100023</x:v>
      </x:c>
      <x:c r="F6" s="138" t="str">
        <x:v>By monitored zones</x:v>
      </x:c>
      <x:c r="G6" s="138" t="str">
        <x:v>BA5-I/O per design</x:v>
      </x:c>
      <x:c r="H6" s="138" t="str">
        <x:v>Verify host IPC interfaces and cloud service</x:v>
      </x:c>
      <x:c r="I6" s="138" t="str">
        <x:v>CHECKED against uploaded reference; C ID is now the ONLY active route ID</x:v>
      </x:c>
    </x:row>
    <x:row r="7" ht="66" customHeight="1">
      <x:c r="A7" s="136" t="str">
        <x:v>C03</x:v>
      </x:c>
      <x:c r="B7" s="136" t="str">
        <x:v>ST1-03B</x:v>
      </x:c>
      <x:c r="C7" s="136" t="str">
        <x:v>C53 BSIS + CA51 + B3A + MDVR + FT Cloud</x:v>
      </x:c>
      <x:c r="D7" s="155" t="str">
        <x:v>Per MDVR design</x:v>
      </x:c>
      <x:c r="E7" s="136" t="str">
        <x:v>Not a standard C46 route</x:v>
      </x:c>
      <x:c r="F7" s="136" t="str">
        <x:v>Per C53 design</x:v>
      </x:c>
      <x:c r="G7" s="136" t="str">
        <x:v>B3A</x:v>
      </x:c>
      <x:c r="H7" s="136" t="str">
        <x:v>Check exact hardware and regulatory applicability</x:v>
      </x:c>
      <x:c r="I7" s="136" t="str">
        <x:v>CHECKED against uploaded reference; C ID is now the ONLY active route ID</x:v>
      </x:c>
    </x:row>
    <x:row r="8" ht="66" customHeight="1">
      <x:c r="A8" s="138" t="str">
        <x:v>C04</x:v>
      </x:c>
      <x:c r="B8" s="138" t="str">
        <x:v>ST1-05</x:v>
      </x:c>
      <x:c r="C8" s="138" t="str">
        <x:v>AI-AVM/360° + 4×CA51 + MDVR/Dashcam</x:v>
      </x:c>
      <x:c r="D8" s="156" t="str">
        <x:v>Per AI-AVM processor</x:v>
      </x:c>
      <x:c r="E8" s="138" t="str">
        <x:v>C46 is project-specific optional</x:v>
      </x:c>
      <x:c r="F8" s="138" t="str">
        <x:v>4×CA51 baseline</x:v>
      </x:c>
      <x:c r="G8" s="138" t="str">
        <x:v>Per project</x:v>
      </x:c>
      <x:c r="H8" s="138" t="str">
        <x:v>Coordinate processor, calibration and outputs</x:v>
      </x:c>
      <x:c r="I8" s="138" t="str">
        <x:v>CHECKED against uploaded reference; C ID is now the ONLY active route ID</x:v>
      </x:c>
    </x:row>
    <x:row r="9" ht="66" customHeight="1">
      <x:c r="A9" s="136" t="str">
        <x:v>C05</x:v>
      </x:c>
      <x:c r="B9" s="136" t="str">
        <x:v>ST1-06</x:v>
      </x:c>
      <x:c r="C9" s="136" t="str">
        <x:v>CM31/CMS + C53 + DP12S</x:v>
      </x:c>
      <x:c r="D9" s="155" t="str">
        <x:v>OEM-specific configuration</x:v>
      </x:c>
      <x:c r="E9" s="136" t="str">
        <x:v>N/A</x:v>
      </x:c>
      <x:c r="F9" s="136" t="str">
        <x:v>Per CMS design</x:v>
      </x:c>
      <x:c r="G9" s="136" t="str">
        <x:v>Per OEM design</x:v>
      </x:c>
      <x:c r="H9" s="136" t="str">
        <x:v>Vehicle integration and compliance approval</x:v>
      </x:c>
      <x:c r="I9" s="136" t="str">
        <x:v>CHECKED against uploaded reference; C ID is now the ONLY active route ID</x:v>
      </x:c>
    </x:row>
    <x:row r="10" ht="66" customHeight="1">
      <x:c r="A10" s="138" t="str">
        <x:v>C06</x:v>
      </x:c>
      <x:c r="B10" s="138" t="str">
        <x:v>ST2-01</x:v>
      </x:c>
      <x:c r="C10" s="138" t="str">
        <x:v>M3N H0404 · NA preferred</x:v>
      </x:c>
      <x:c r="D10" s="156" t="str">
        <x:v>5120121100005</x:v>
      </x:c>
      <x:c r="E10" s="138" t="str">
        <x:v>C46 IPC · 5152178100023</x:v>
      </x:c>
      <x:c r="F10" s="138" t="str">
        <x:v>4</x:v>
      </x:c>
      <x:c r="G10" s="138" t="str">
        <x:v>BA5-O ×1; BA5-I ×1 strongly recommended</x:v>
      </x:c>
      <x:c r="H10" s="138" t="str">
        <x:v>No switch; 20-pin harness included in host kit</x:v>
      </x:c>
      <x:c r="I10" s="138" t="str">
        <x:v>CHECKED against uploaded reference; C ID is now the ONLY active route ID</x:v>
      </x:c>
    </x:row>
    <x:row r="11" ht="66" customHeight="1">
      <x:c r="A11" s="136" t="str">
        <x:v>C07</x:v>
      </x:c>
      <x:c r="B11" s="136" t="str">
        <x:v>ST2-02</x:v>
      </x:c>
      <x:c r="C11" s="136" t="str">
        <x:v>M1N 2.0 · 2 cameras</x:v>
      </x:c>
      <x:c r="D11" s="155" t="str">
        <x:v>Choose region/storage from BOM</x:v>
      </x:c>
      <x:c r="E11" s="136" t="str">
        <x:v>C46 IPC · 5152178100023</x:v>
      </x:c>
      <x:c r="F11" s="136" t="str">
        <x:v>2</x:v>
      </x:c>
      <x:c r="G11" s="136" t="str">
        <x:v>BA5-O ×1; BA5-I optional</x:v>
      </x:c>
      <x:c r="H11" s="136" t="str">
        <x:v>No extra switch; choose camera extensions by installation distance</x:v>
      </x:c>
      <x:c r="I11" s="136" t="str">
        <x:v>CHECKED against uploaded reference; C ID is now the ONLY active route ID</x:v>
      </x:c>
    </x:row>
    <x:row r="12" ht="66" customHeight="1">
      <x:c r="A12" s="138" t="str">
        <x:v>C08</x:v>
      </x:c>
      <x:c r="B12" s="138" t="str">
        <x:v>ST2-03</x:v>
      </x:c>
      <x:c r="C12" s="138" t="str">
        <x:v>M1N 2.0 · 4 cameras</x:v>
      </x:c>
      <x:c r="D12" s="156" t="str">
        <x:v>Choose region/storage from BOM</x:v>
      </x:c>
      <x:c r="E12" s="138" t="str">
        <x:v>C46 IPC · 5152178100023</x:v>
      </x:c>
      <x:c r="F12" s="138" t="str">
        <x:v>4</x:v>
      </x:c>
      <x:c r="G12" s="138" t="str">
        <x:v>BA5-O ×1; BA5-I ×1 strongly recommended</x:v>
      </x:c>
      <x:c r="H12" s="138" t="str">
        <x:v>Switch 5173002100003 ×1 + cable 1261020000036 ×1</x:v>
      </x:c>
      <x:c r="I12" s="138" t="str">
        <x:v>CHECKED against uploaded reference; C ID is now the ONLY active route ID</x:v>
      </x:c>
    </x:row>
    <x:row r="13" ht="66" customHeight="1">
      <x:c r="A13" s="136" t="str">
        <x:v>C09</x:v>
      </x:c>
      <x:c r="B13" s="136" t="str">
        <x:v>ST2-04</x:v>
      </x:c>
      <x:c r="C13" s="136" t="str">
        <x:v>M1N 2.0 · 5 cameras</x:v>
      </x:c>
      <x:c r="D13" s="155" t="str">
        <x:v>Choose region/storage from BOM</x:v>
      </x:c>
      <x:c r="E13" s="136" t="str">
        <x:v>C46 IPC · 5152178100023</x:v>
      </x:c>
      <x:c r="F13" s="136" t="str">
        <x:v>5</x:v>
      </x:c>
      <x:c r="G13" s="136" t="str">
        <x:v>BA5-O ×1; BA5-I ×1 strongly recommended</x:v>
      </x:c>
      <x:c r="H13" s="136" t="str">
        <x:v>Switch 5173002100003 ×1 + cable 1261020000036 ×1</x:v>
      </x:c>
      <x:c r="I13" s="136" t="str">
        <x:v>CHECKED against uploaded reference; C ID is now the ONLY active route ID</x:v>
      </x:c>
    </x:row>
    <x:row r="14" ht="66" customHeight="1">
      <x:c r="A14" s="138" t="str">
        <x:v>C10</x:v>
      </x:c>
      <x:c r="B14" s="138" t="str">
        <x:v>ST2-05</x:v>
      </x:c>
      <x:c r="C14" s="138" t="str">
        <x:v>M3N H0204 · EU/Asia</x:v>
      </x:c>
      <x:c r="D14" s="156" t="str">
        <x:v>5120182100013</x:v>
      </x:c>
      <x:c r="E14" s="138" t="str">
        <x:v>C46 IPC · 5152178100023</x:v>
      </x:c>
      <x:c r="F14" s="138" t="str">
        <x:v>4</x:v>
      </x:c>
      <x:c r="G14" s="138" t="str">
        <x:v>BA5-O ×1; BA5-I ×1 strongly recommended</x:v>
      </x:c>
      <x:c r="H14" s="138" t="str">
        <x:v>No switch; 20-pin harness and 1TB SSD included</x:v>
      </x:c>
      <x:c r="I14" s="138" t="str">
        <x:v>CHECKED against uploaded reference; C ID is now the ONLY active route ID</x:v>
      </x:c>
    </x:row>
    <x:row r="15" ht="66" customHeight="1">
      <x:c r="A15" s="136" t="str">
        <x:v>C11</x:v>
      </x:c>
      <x:c r="B15" s="136" t="str">
        <x:v>ST1-02</x:v>
      </x:c>
      <x:c r="C15" s="136" t="str">
        <x:v>C46 + local display/alarm</x:v>
      </x:c>
      <x:c r="D15" s="155" t="str">
        <x:v>Project-specific</x:v>
      </x:c>
      <x:c r="E15" s="136" t="str">
        <x:v>AHD · 5152178100020 / IPC · 5152178100023</x:v>
      </x:c>
      <x:c r="F15" s="136" t="str">
        <x:v>By risk coverage</x:v>
      </x:c>
      <x:c r="G15" s="136" t="str">
        <x:v>B2/BA5 per design</x:v>
      </x:c>
      <x:c r="H15" s="136" t="str">
        <x:v>AHD and IPC follow different signal paths</x:v>
      </x:c>
      <x:c r="I15" s="136" t="str">
        <x:v>CHECKED against uploaded reference; C ID is now the ONLY active route ID</x:v>
      </x:c>
    </x:row>
    <x:row r="16" ht="66" customHeight="1">
      <x:c r="A16" s="138" t="str">
        <x:v>—</x:v>
      </x:c>
      <x:c r="B16" s="138" t="str">
        <x:v>ST1-04A</x:v>
      </x:c>
      <x:c r="C16" s="138" t="str">
        <x:v>Agriculture / ADA</x:v>
      </x:c>
      <x:c r="D16" s="156" t="str">
        <x:v>OUT OF CANONICAL SCOPE</x:v>
      </x:c>
      <x:c r="E16" s="138" t="str">
        <x:v>Reference-only agriculture route</x:v>
      </x:c>
      <x:c r="F16" s="138" t="str">
        <x:v>—</x:v>
      </x:c>
      <x:c r="G16" s="138" t="str">
        <x:v>—</x:v>
      </x:c>
      <x:c r="H16" s="138" t="str">
        <x:v>—</x:v>
      </x:c>
      <x:c r="I16" s="138" t="str">
        <x:v>No customer-facing C ID assigned; source retained separately</x:v>
      </x:c>
    </x:row>
    <x:row r="17" ht="66" customHeight="1">
      <x:c r="A17" s="136" t="str">
        <x:v>—</x:v>
      </x:c>
      <x:c r="B17" s="136" t="str">
        <x:v>ST1-04B</x:v>
      </x:c>
      <x:c r="C17" s="136" t="str">
        <x:v>Agriculture / C46A</x:v>
      </x:c>
      <x:c r="D17" s="155" t="str">
        <x:v>OUT OF CANONICAL SCOPE</x:v>
      </x:c>
      <x:c r="E17" s="136" t="str">
        <x:v>Reference-only agriculture route</x:v>
      </x:c>
      <x:c r="F17" s="136" t="str">
        <x:v>—</x:v>
      </x:c>
      <x:c r="G17" s="136" t="str">
        <x:v>—</x:v>
      </x:c>
      <x:c r="H17" s="136" t="str">
        <x:v>—</x:v>
      </x:c>
      <x:c r="I17" s="136" t="str">
        <x:v>No customer-facing C ID assigned; source retained separately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53" hidden="0" customWidth="1"/>
    <x:col min="4" max="4" width="89" hidden="0" customWidth="1"/>
    <x:col min="5" max="5" width="86" hidden="0" customWidth="1"/>
  </x:cols>
  <x:sheetData>
    <x:row r="1" ht="38" customHeight="1">
      <x:c r="A1" s="144" t="str">
        <x:v>SOURCE-ONLY | ROUTES NOT IN OFFICIAL C01–C11</x:v>
      </x:c>
      <x:c r="B1" s="144"/>
      <x:c r="C1" s="144"/>
      <x:c r="D1" s="144"/>
      <x:c r="E1" s="144"/>
    </x:row>
    <x:row r="2" ht="43" customHeight="1">
      <x:c r="A2" s="220" t="str">
        <x:v>Retains original v9 agriculture ideas, but does not silently invent C numbers or merge into existing routes.</x:v>
      </x:c>
      <x:c r="B2" s="220"/>
      <x:c r="C2" s="220"/>
      <x:c r="D2" s="220"/>
      <x:c r="E2" s="220"/>
    </x:row>
    <x:row r="3" ht="54" customHeight="1">
      <x:c r="A3" s="222" t="str">
        <x:v>NOT selectable in Configurator or approved BOM; no active customer quote or technical validation claims.</x:v>
      </x:c>
      <x:c r="B3" s="222"/>
      <x:c r="C3" s="222"/>
      <x:c r="D3" s="222"/>
      <x:c r="E3" s="222"/>
    </x:row>
    <x:row r="4" ht="40" customHeight="1">
      <x:c r="A4" s="141" t="str">
        <x:v>Historical source ID</x:v>
      </x:c>
      <x:c r="B4" s="141" t="str">
        <x:v>Source concept</x:v>
      </x:c>
      <x:c r="C4" s="141" t="str">
        <x:v>Original recommendation</x:v>
      </x:c>
      <x:c r="D4" s="141" t="str">
        <x:v>Source component categories</x:v>
      </x:c>
      <x:c r="E4" s="141" t="str">
        <x:v>Restriction</x:v>
      </x:c>
    </x:row>
    <x:row r="5" ht="85" customHeight="1">
      <x:c r="A5" s="136" t="str">
        <x:v>ST1-04A</x:v>
      </x:c>
      <x:c r="B5" s="136" t="str">
        <x:v>Agriculture / ADA</x:v>
      </x:c>
      <x:c r="C5" s="136" t="str">
        <x:v>ADA family</x:v>
      </x:c>
      <x:c r="D5" s="136" t="str">
        <x:v>ADA family / Display / compatible viewer / Power harness / protection / Video / data / extension harness / Mounting bracket / fasteners</x:v>
      </x:c>
      <x:c r="E5" s="136" t="str">
        <x:v>Source reference only; not in uploaded C01–C11. PM must define a new sales route/ID if commercialized.</x:v>
      </x:c>
    </x:row>
    <x:row r="6" ht="85" customHeight="1">
      <x:c r="A6" s="138" t="str">
        <x:v>ST1-04B</x:v>
      </x:c>
      <x:c r="B6" s="138" t="str">
        <x:v>Agriculture / C46A</x:v>
      </x:c>
      <x:c r="C6" s="138" t="str">
        <x:v>C46A local</x:v>
      </x:c>
      <x:c r="D6" s="138" t="str">
        <x:v>C46A / Display / Local alarm / Power harness / protection / Video / data / extension harness / Mounting bracket / fasteners</x:v>
      </x:c>
      <x:c r="E6" s="138" t="str">
        <x:v>Source reference only; not in uploaded C01–C11. PM must define a new sales route/ID if commercialized.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